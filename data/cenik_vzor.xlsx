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32760" yWindow="32760" windowWidth="18030" windowHeight="5625"/>
  </bookViews>
  <sheets>
    <sheet name="venkovní žaluzie" sheetId="3" r:id="rId1"/>
  </sheets>
  <definedNames>
    <definedName name="_xlnm.Print_Area" localSheetId="0">'venkovní žaluzie'!$A$1:$K$53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<sst xmlns="http://schemas.openxmlformats.org/spreadsheetml/2006/main" count="69" uniqueCount="57">
  <si>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</si>
  <si>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</si>
  <si>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</si>
  <si>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</si>
  <si>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</si>
  <si>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</si>
  <si>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</si>
  <si>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motorické-dálkové, výběr ovladačů viz "Příslušenství Somfy"</t>
  </si>
  <si>
    <t xml:space="preserve"> - cena za vybrané ovladače bude následně k nabídce přičtena</t>
  </si>
  <si>
    <t xml:space="preserve"> - motory Somfy J4S iO tichý chod s detekcí překážky</t>
  </si>
  <si>
    <t xml:space="preserve"> - motrory lze ovládat přes mobilní aplikaci (nutno dokoupit Somfy Tahoma Switch)</t>
  </si>
  <si>
    <t xml:space="preserve"> - včetně vnějších krycích plechů</t>
  </si>
  <si>
    <t xml:space="preserve"> - barva lamel standard dle vzorníku</t>
  </si>
  <si>
    <t xml:space="preserve"> - spodní profil a vodící lišty - libovolná barva RAL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</si>
  <si>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</si>
  <si>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</si>
  <si>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</si>
  <si>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</si>
  <si>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</si>
  <si>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</si>
  <si>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</si>
  <si>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</si>
  <si>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</si>
  <si>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</si>
  <si>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</si>
  <si>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</si>
  <si>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</si>
  <si>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</si>
  <si>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</si>
  <si>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</si>
  <si>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</si>
  <si>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</si>
  <si>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</si>
  <si>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</si>
  <si>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</si>
  <si>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</si>
  <si>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</si>
  <si>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Lakování spodního profilu dle RAL</t>
  </si>
  <si>
    <t>bm</t>
  </si>
  <si>
    <t>Lakování vodících lišt dle RAL</t>
  </si>
  <si>
    <t>Krycí plechy</t>
  </si>
  <si>
    <t>Motor Somfy vč. přijímače DO</t>
  </si>
  <si>
    <t>Montáž + doprava</t>
  </si>
  <si>
    <t xml:space="preserve">Doprava </t>
  </si>
  <si>
    <t xml:space="preserve">Montáž </t>
  </si>
  <si>
    <t>Příplatky celkem :</t>
  </si>
  <si>
    <t xml:space="preserve"> - nabídka neobsahuje elektropřípravu</t>
  </si>
  <si>
    <t>Součet celkem :</t>
  </si>
  <si>
    <t>DPH :</t>
  </si>
  <si>
    <t>Cena zakázky po slevě :</t>
  </si>
  <si>
    <t xml:space="preserve">Termín dodání: </t>
  </si>
  <si>
    <t xml:space="preserve">   </t>
  </si>
  <si>
    <t>cca 3-5 týdnů od uhrazení zálohové faktury (50%)</t>
  </si>
  <si>
    <t xml:space="preserve">Záruční podmínky: </t>
  </si>
  <si>
    <t>3 roky na žaluzie, 5 let na příslušenství Somfy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</si>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</sst>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6">
    <font>
      <sz val="10"/>
      <name val="Arial CE"/>
      <charset val="238"/>
    </font>
    <font>
      <sz val="12"/>
      <name val="Times New Roman CE"/>
      <family val="1"/>
      <charset val="238"/>
    </font>
    <font>
      <sz val="10"/>
      <name val="Times New Roman CE"/>
      <family val="1"/>
      <charset val="238"/>
    </font>
    <font>
      <b/>
      <sz val="10"/>
      <color indexed="12"/>
      <name val="Times New Roman CE"/>
      <family val="1"/>
      <charset val="238"/>
    </font>
    <font>
      <b/>
      <sz val="9"/>
      <color indexed="12"/>
      <name val="Times New Roman CE"/>
      <family val="1"/>
      <charset val="238"/>
    </font>
    <font>
      <sz val="10"/>
      <color indexed="12"/>
      <name val="Times New Roman CE"/>
      <family val="1"/>
      <charset val="238"/>
    </font>
    <font>
      <sz val="9"/>
      <color indexed="12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Arial CE"/>
      <charset val="238"/>
    </font>
    <font>
      <b/>
      <sz val="12"/>
      <color rgb="FFFF0000"/>
      <name val="Times New Roman CE"/>
      <family val="1"/>
      <charset val="238"/>
    </font>
    <font>
      <sz val="12"/>
      <name val="Times New Roman CE"/>
      <charset val="238"/>
    </font>
    <font>
      <u/>
      <sz val="10"/>
      <color theme="10"/>
      <name val="Arial CE"/>
      <charset val="238"/>
    </font>
    <font>
      <b/>
      <sz val="10"/>
      <name val="Times New Roman CE"/>
      <family val="1"/>
      <charset val="238"/>
    </font>
    <font>
      <b/>
      <sz val="11"/>
      <color rgb="FF30A9C6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5F8E"/>
      <name val="Arial"/>
      <family val="2"/>
      <charset val="238"/>
    </font>
    <font>
      <b/>
      <sz val="10"/>
      <name val="Arial CE"/>
      <charset val="238"/>
    </font>
    <font>
      <b/>
      <sz val="12"/>
      <color theme="1"/>
      <name val="Times New Roman CE"/>
      <family val="1"/>
      <charset val="238"/>
    </font>
    <font>
      <sz val="11"/>
      <name val="Arial"/>
      <family val="2"/>
      <charset val="238"/>
    </font>
    <font>
      <i/>
      <sz val="12"/>
      <name val="Times New Roman CE"/>
      <charset val="238"/>
    </font>
    <font>
      <u/>
      <sz val="12"/>
      <color indexed="48"/>
      <name val="Times New Roman CE"/>
      <charset val="238"/>
    </font>
    <font>
      <b/>
      <sz val="11"/>
      <color rgb="FFFF0000"/>
      <name val="Arial"/>
      <family val="2"/>
      <charset val="238"/>
    </font>
    <font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b/>
      <i/>
      <sz val="10"/>
      <name val="Times New Roman CE"/>
      <family val="1"/>
      <charset val="238"/>
    </font>
    <font>
      <b/>
      <i/>
      <sz val="7"/>
      <name val="Arial"/>
      <family val="2"/>
      <charset val="238"/>
    </font>
    <font>
      <sz val="12"/>
      <color theme="0"/>
      <name val="Times New Roman CE"/>
      <family val="1"/>
      <charset val="238"/>
    </font>
    <font>
      <i/>
      <sz val="12"/>
      <name val="Times New Roman CE"/>
      <family val="1"/>
      <charset val="238"/>
    </font>
    <font>
      <sz val="12"/>
      <name val="Times New Roman"/>
      <family val="1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2"/>
      <color rgb="FFFF0000"/>
      <name val="Times New Roman CE"/>
      <family val="1"/>
      <charset val="238"/>
    </font>
    <font>
      <b/>
      <sz val="12"/>
      <color rgb="FFFF0000"/>
      <name val="Times New Roman CE"/>
      <charset val="238"/>
    </font>
    <font>
      <sz val="11"/>
      <name val="Times New Roman CE"/>
      <charset val="238"/>
    </font>
    <font>
      <b/>
      <u/>
      <sz val="12"/>
      <name val="Times New Roman CE"/>
      <charset val="238"/>
    </font>
    <font>
      <b/>
      <sz val="12"/>
      <name val="Times New Roman CE"/>
      <charset val="238"/>
    </font>
    <font>
      <u/>
      <sz val="10"/>
      <color theme="11"/>
      <name val="Arial CE"/>
      <charset val="238"/>
    </font>
    <font>
      <sz val="11"/>
      <color rgb="FFFF0000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i/>
      <sz val="11"/>
      <color rgb="FF7F7F7F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0" fillId="4" borderId="34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5" applyNumberFormat="0" applyFill="0" applyAlignment="0" applyProtection="0"/>
    <xf numFmtId="0" fontId="43" fillId="0" borderId="36" applyNumberFormat="0" applyFill="0" applyAlignment="0" applyProtection="0"/>
    <xf numFmtId="0" fontId="44" fillId="0" borderId="37" applyNumberFormat="0" applyFill="0" applyAlignment="0" applyProtection="0"/>
    <xf numFmtId="0" fontId="44" fillId="0" borderId="0" applyNumberFormat="0" applyFill="0" applyBorder="0" applyAlignment="0" applyProtection="0"/>
    <xf numFmtId="0" fontId="45" fillId="5" borderId="38" applyNumberFormat="0" applyAlignment="0" applyProtection="0"/>
    <xf numFmtId="0" fontId="46" fillId="6" borderId="39" applyNumberFormat="0" applyAlignment="0" applyProtection="0"/>
    <xf numFmtId="0" fontId="47" fillId="6" borderId="38" applyNumberFormat="0" applyAlignment="0" applyProtection="0"/>
    <xf numFmtId="0" fontId="48" fillId="7" borderId="40" applyNumberFormat="0" applyAlignment="0" applyProtection="0"/>
    <xf numFmtId="0" fontId="49" fillId="0" borderId="41" applyNumberFormat="0" applyFill="0" applyAlignment="0" applyProtection="0"/>
    <xf numFmtId="0" fontId="50" fillId="0" borderId="42" applyNumberFormat="0" applyFill="0" applyAlignment="0" applyProtection="0"/>
    <xf numFmtId="0" fontId="51" fillId="8" borderId="0" applyNumberFormat="0" applyBorder="0" applyAlignment="0" applyProtection="0"/>
    <xf numFmtId="0" fontId="52" fillId="9" borderId="0" applyNumberFormat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4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8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0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1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2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181" fontId="16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3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5" fillId="0" borderId="0" xfId="0" applyFont="1" applyBorder="1" applyAlignment="1"/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9" fontId="14" fillId="2" borderId="6" xfId="0" applyNumberFormat="1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" fillId="0" borderId="0" xfId="0" applyFont="1" applyBorder="1"/>
    <xf numFmtId="0" fontId="29" fillId="0" borderId="0" xfId="0" applyFont="1"/>
    <xf numFmtId="0" fontId="18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" fontId="30" fillId="0" borderId="13" xfId="0" applyNumberFormat="1" applyFont="1" applyBorder="1" applyAlignment="1">
      <alignment horizontal="center" vertical="center"/>
    </xf>
    <xf numFmtId="182" fontId="24" fillId="0" borderId="14" xfId="0" applyNumberFormat="1" applyFont="1" applyBorder="1" applyAlignment="1">
      <alignment horizontal="center" vertical="center"/>
    </xf>
    <xf numFmtId="182" fontId="18" fillId="0" borderId="13" xfId="0" applyNumberFormat="1" applyFont="1" applyBorder="1" applyAlignment="1">
      <alignment horizontal="center" vertical="center"/>
    </xf>
    <xf numFmtId="182" fontId="18" fillId="0" borderId="15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Fill="1" applyBorder="1" applyAlignment="1">
      <alignment horizontal="center" vertical="center"/>
    </xf>
    <xf numFmtId="183" fontId="18" fillId="2" borderId="12" xfId="0" applyNumberFormat="1" applyFont="1" applyFill="1" applyBorder="1" applyAlignment="1">
      <alignment horizontal="center" vertical="center"/>
    </xf>
    <xf numFmtId="183" fontId="18" fillId="0" borderId="15" xfId="0" applyNumberFormat="1" applyFont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83" fontId="31" fillId="0" borderId="18" xfId="0" applyNumberFormat="1" applyFont="1" applyBorder="1" applyAlignment="1">
      <alignment horizontal="right" vertical="center"/>
    </xf>
    <xf numFmtId="0" fontId="33" fillId="0" borderId="0" xfId="0" applyFont="1" applyBorder="1" applyAlignment="1">
      <alignment horizontal="center"/>
    </xf>
    <xf numFmtId="1" fontId="34" fillId="0" borderId="0" xfId="0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8" fillId="0" borderId="6" xfId="0" applyFont="1" applyBorder="1" applyAlignment="1">
      <alignment horizontal="center"/>
    </xf>
    <xf numFmtId="183" fontId="14" fillId="0" borderId="8" xfId="0" applyNumberFormat="1" applyFont="1" applyBorder="1" applyAlignment="1">
      <alignment horizontal="center" vertical="center"/>
    </xf>
    <xf numFmtId="0" fontId="18" fillId="2" borderId="6" xfId="0" applyFont="1" applyFill="1" applyBorder="1" applyAlignment="1">
      <alignment horizontal="center"/>
    </xf>
    <xf numFmtId="1" fontId="14" fillId="0" borderId="16" xfId="0" applyNumberFormat="1" applyFont="1" applyBorder="1" applyAlignment="1">
      <alignment horizontal="left"/>
    </xf>
    <xf numFmtId="1" fontId="14" fillId="0" borderId="17" xfId="0" applyNumberFormat="1" applyFont="1" applyBorder="1" applyAlignment="1">
      <alignment horizontal="left"/>
    </xf>
    <xf numFmtId="1" fontId="14" fillId="0" borderId="18" xfId="0" applyNumberFormat="1" applyFont="1" applyBorder="1" applyAlignment="1">
      <alignment horizontal="left"/>
    </xf>
    <xf numFmtId="9" fontId="14" fillId="2" borderId="19" xfId="0" applyNumberFormat="1" applyFont="1" applyFill="1" applyBorder="1" applyAlignment="1">
      <alignment horizontal="center"/>
    </xf>
    <xf numFmtId="183" fontId="18" fillId="0" borderId="15" xfId="0" applyNumberFormat="1" applyFont="1" applyFill="1" applyBorder="1" applyAlignment="1">
      <alignment horizontal="right" vertical="center"/>
    </xf>
    <xf numFmtId="0" fontId="18" fillId="0" borderId="24" xfId="0" applyFont="1" applyBorder="1" applyAlignment="1">
      <alignment horizontal="left"/>
    </xf>
    <xf numFmtId="182" fontId="18" fillId="0" borderId="25" xfId="0" applyNumberFormat="1" applyFont="1" applyBorder="1" applyAlignment="1">
      <alignment horizontal="center"/>
    </xf>
    <xf numFmtId="182" fontId="18" fillId="0" borderId="15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3" fontId="18" fillId="0" borderId="12" xfId="0" applyNumberFormat="1" applyFont="1" applyFill="1" applyBorder="1" applyAlignment="1">
      <alignment horizontal="center"/>
    </xf>
    <xf numFmtId="182" fontId="18" fillId="0" borderId="12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left" wrapText="1"/>
    </xf>
    <xf numFmtId="0" fontId="0" fillId="0" borderId="27" xfId="0" applyBorder="1" applyAlignment="1"/>
    <xf numFmtId="0" fontId="0" fillId="0" borderId="28" xfId="0" applyBorder="1" applyAlignment="1"/>
    <xf numFmtId="9" fontId="14" fillId="0" borderId="19" xfId="0" applyNumberFormat="1" applyFont="1" applyFill="1" applyBorder="1" applyAlignment="1">
      <alignment horizontal="center"/>
    </xf>
    <xf numFmtId="183" fontId="18" fillId="0" borderId="18" xfId="0" applyNumberFormat="1" applyFont="1" applyFill="1" applyBorder="1" applyAlignment="1">
      <alignment horizontal="right" vertical="center"/>
    </xf>
    <xf numFmtId="0" fontId="18" fillId="0" borderId="29" xfId="0" applyFont="1" applyBorder="1" applyAlignment="1">
      <alignment horizontal="left"/>
    </xf>
    <xf numFmtId="182" fontId="18" fillId="0" borderId="30" xfId="0" applyNumberFormat="1" applyFont="1" applyBorder="1" applyAlignment="1">
      <alignment horizontal="center"/>
    </xf>
    <xf numFmtId="1" fontId="18" fillId="0" borderId="31" xfId="0" applyNumberFormat="1" applyFont="1" applyBorder="1" applyAlignment="1">
      <alignment horizontal="center"/>
    </xf>
    <xf numFmtId="3" fontId="18" fillId="0" borderId="31" xfId="0" applyNumberFormat="1" applyFont="1" applyFill="1" applyBorder="1" applyAlignment="1">
      <alignment horizontal="center"/>
    </xf>
    <xf numFmtId="183" fontId="18" fillId="0" borderId="31" xfId="0" applyNumberFormat="1" applyFont="1" applyFill="1" applyBorder="1" applyAlignment="1">
      <alignment horizontal="center" vertical="center"/>
    </xf>
    <xf numFmtId="183" fontId="18" fillId="0" borderId="32" xfId="0" applyNumberFormat="1" applyFont="1" applyFill="1" applyBorder="1" applyAlignment="1">
      <alignment horizontal="right" vertical="center"/>
    </xf>
    <xf numFmtId="0" fontId="14" fillId="0" borderId="16" xfId="0" applyFont="1" applyBorder="1"/>
    <xf numFmtId="0" fontId="18" fillId="0" borderId="17" xfId="0" applyFont="1" applyBorder="1"/>
    <xf numFmtId="0" fontId="14" fillId="0" borderId="17" xfId="0" applyFont="1" applyBorder="1" applyAlignment="1">
      <alignment horizontal="right" vertical="center"/>
    </xf>
    <xf numFmtId="0" fontId="18" fillId="0" borderId="17" xfId="0" applyFont="1" applyBorder="1" applyAlignment="1">
      <alignment horizontal="right" vertical="center"/>
    </xf>
    <xf numFmtId="183" fontId="14" fillId="0" borderId="18" xfId="0" applyNumberFormat="1" applyFont="1" applyBorder="1" applyAlignment="1">
      <alignment horizontal="right" vertical="center"/>
    </xf>
    <xf numFmtId="0" fontId="18" fillId="0" borderId="0" xfId="0" applyFont="1" applyBorder="1"/>
    <xf numFmtId="0" fontId="14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83" fontId="14" fillId="0" borderId="0" xfId="0" applyNumberFormat="1" applyFont="1" applyBorder="1" applyAlignment="1">
      <alignment horizontal="right" vertical="center"/>
    </xf>
    <xf numFmtId="0" fontId="18" fillId="0" borderId="0" xfId="0" applyFont="1"/>
    <xf numFmtId="0" fontId="14" fillId="0" borderId="2" xfId="0" applyFont="1" applyBorder="1" applyAlignment="1">
      <alignment horizontal="left" vertical="center"/>
    </xf>
    <xf numFmtId="0" fontId="18" fillId="0" borderId="33" xfId="0" applyFont="1" applyBorder="1"/>
    <xf numFmtId="0" fontId="18" fillId="0" borderId="33" xfId="0" applyFont="1" applyBorder="1" applyAlignment="1">
      <alignment horizontal="right" vertical="center"/>
    </xf>
    <xf numFmtId="183" fontId="14" fillId="0" borderId="3" xfId="0" applyNumberFormat="1" applyFont="1" applyBorder="1" applyAlignment="1">
      <alignment horizontal="right" vertical="center"/>
    </xf>
    <xf numFmtId="0" fontId="14" fillId="0" borderId="24" xfId="0" applyFont="1" applyBorder="1" applyAlignment="1">
      <alignment horizontal="left" vertical="center"/>
    </xf>
    <xf numFmtId="9" fontId="18" fillId="0" borderId="25" xfId="0" applyNumberFormat="1" applyFont="1" applyBorder="1" applyAlignment="1">
      <alignment horizontal="center" vertical="center"/>
    </xf>
    <xf numFmtId="10" fontId="18" fillId="0" borderId="25" xfId="0" applyNumberFormat="1" applyFont="1" applyBorder="1" applyAlignment="1">
      <alignment horizontal="left" vertical="center"/>
    </xf>
    <xf numFmtId="184" fontId="14" fillId="0" borderId="15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right" vertical="center"/>
    </xf>
    <xf numFmtId="0" fontId="18" fillId="2" borderId="11" xfId="0" applyFont="1" applyFill="1" applyBorder="1"/>
    <xf numFmtId="183" fontId="14" fillId="2" borderId="8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18" fillId="0" borderId="0" xfId="0" applyFont="1" applyFill="1" applyBorder="1"/>
    <xf numFmtId="183" fontId="14" fillId="0" borderId="0" xfId="0" applyNumberFormat="1" applyFont="1" applyFill="1" applyBorder="1" applyAlignment="1">
      <alignment horizontal="right" vertical="center"/>
    </xf>
    <xf numFmtId="0" fontId="35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3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36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1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1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FFFFFF"/>
      <color rgb="0030A9C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5.jpeg"/><Relationship Id="rId6" Type="http://schemas.openxmlformats.org/officeDocument/2006/relationships/image" Target="../media/image4.png"/><Relationship Id="rId5" Type="http://schemas.openxmlformats.org/officeDocument/2006/relationships/hyperlink" Target="https://g.page/r/CS01vcFXY0BzEBM/review" TargetMode="External"/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590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555625</xdr:colOff>
      <xdr:row>45</xdr:row>
      <xdr:rowOff>142875</xdr:rowOff>
    </xdr:from>
    <xdr:to>
      <xdr:col>11</xdr:col>
      <xdr:colOff>24765</xdr:colOff>
      <xdr:row>48</xdr:row>
      <xdr:rowOff>85725</xdr:rowOff>
    </xdr:to>
    <xdr:pic>
      <xdr:nvPicPr>
        <xdr:cNvPr id="1591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16575" y="9603105"/>
          <a:ext cx="62039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236855</xdr:colOff>
      <xdr:row>41</xdr:row>
      <xdr:rowOff>114935</xdr:rowOff>
    </xdr:from>
    <xdr:to>
      <xdr:col>4</xdr:col>
      <xdr:colOff>457200</xdr:colOff>
      <xdr:row>44</xdr:row>
      <xdr:rowOff>38100</xdr:rowOff>
    </xdr:to>
    <xdr:pic>
      <xdr:nvPicPr>
        <xdr:cNvPr id="1592" name="Obrázek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01775" y="8403590"/>
          <a:ext cx="742950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138430</xdr:colOff>
      <xdr:row>41</xdr:row>
      <xdr:rowOff>95250</xdr:rowOff>
    </xdr:from>
    <xdr:to>
      <xdr:col>3</xdr:col>
      <xdr:colOff>139065</xdr:colOff>
      <xdr:row>44</xdr:row>
      <xdr:rowOff>123825</xdr:rowOff>
    </xdr:to>
    <xdr:pic>
      <xdr:nvPicPr>
        <xdr:cNvPr id="1593" name="Obrázek 2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1970" y="8383905"/>
          <a:ext cx="88201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11</xdr:col>
      <xdr:colOff>8255</xdr:colOff>
      <xdr:row>51</xdr:row>
      <xdr:rowOff>133350</xdr:rowOff>
    </xdr:to>
    <xdr:pic>
      <xdr:nvPicPr>
        <xdr:cNvPr id="1594" name="Obrázek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10274935"/>
          <a:ext cx="6220460" cy="514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28"/>
  <sheetViews>
    <sheetView showGridLines="0" tabSelected="1" zoomScaleSheetLayoutView="60" topLeftCell="A12" workbookViewId="0">
      <selection activeCell="M24" sqref="M24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46318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K12" s="43"/>
      <c r="L12" s="44"/>
    </row>
    <row r="13" s="1" customFormat="1" ht="19.9" customHeight="1" spans="1:12">
      <c r="A13" s="37"/>
      <c r="B13" s="38"/>
      <c r="D13" s="39"/>
      <c r="E13" s="40" t="s">
        <v>8</v>
      </c>
      <c r="F13" s="41"/>
      <c r="G13" s="42"/>
      <c r="H13" s="41"/>
      <c r="I13" s="41"/>
      <c r="K13" s="43"/>
      <c r="L13" s="44"/>
    </row>
    <row r="14" s="1" customFormat="1" ht="19.9" customHeight="1" spans="1:12">
      <c r="A14" s="37"/>
      <c r="B14" s="38"/>
      <c r="D14" s="39"/>
      <c r="E14" s="40" t="s">
        <v>9</v>
      </c>
      <c r="F14" s="41"/>
      <c r="G14" s="42"/>
      <c r="H14" s="41"/>
      <c r="I14" s="41"/>
      <c r="K14" s="43"/>
      <c r="L14" s="44"/>
    </row>
    <row r="15" s="1" customFormat="1" ht="19.9" customHeight="1" spans="1:12">
      <c r="A15" s="37"/>
      <c r="B15" s="38"/>
      <c r="D15" s="39"/>
      <c r="E15" s="40" t="s">
        <v>10</v>
      </c>
      <c r="F15" s="41"/>
      <c r="G15" s="42"/>
      <c r="H15" s="41"/>
      <c r="I15" s="41"/>
      <c r="K15" s="43"/>
      <c r="L15" s="44"/>
    </row>
    <row r="16" s="1" customFormat="1" ht="16.5" customHeight="1" spans="1:12">
      <c r="A16" s="37"/>
      <c r="D16" s="45"/>
      <c r="E16" s="40" t="s">
        <v>11</v>
      </c>
      <c r="F16" s="46"/>
      <c r="J16" s="42"/>
    </row>
    <row r="17" s="1" customFormat="1" ht="16.5" customHeight="1" spans="1:20">
      <c r="A17" s="37"/>
      <c r="D17" s="45"/>
      <c r="E17" s="40" t="s">
        <v>12</v>
      </c>
      <c r="F17" s="46"/>
      <c r="J17" s="42"/>
    </row>
    <row r="18" s="1" customFormat="1" ht="16.5" customHeight="1" spans="1:20">
      <c r="A18" s="37"/>
      <c r="D18" s="45"/>
      <c r="E18" s="40" t="s">
        <v>13</v>
      </c>
      <c r="F18" s="46"/>
      <c r="J18" s="42"/>
    </row>
    <row r="19" s="1" customFormat="1" ht="1.9" customHeight="1" spans="1:20">
      <c r="A19" s="37"/>
      <c r="D19" s="45"/>
      <c r="E19" s="40"/>
      <c r="F19" s="46"/>
      <c r="J19" s="42"/>
    </row>
    <row r="20" s="1" customFormat="1" ht="16.5" customHeight="1" spans="1:20">
      <c r="A20" s="37"/>
      <c r="B20" s="47"/>
      <c r="D20" s="45"/>
      <c r="E20" s="40"/>
      <c r="F20" s="46"/>
      <c r="J20" s="42"/>
    </row>
    <row r="21" s="2" customFormat="1" ht="15" customHeight="1" spans="1:20">
      <c r="A21" s="48" t="s">
        <v>14</v>
      </c>
      <c r="B21" s="49" t="s">
        <v>15</v>
      </c>
      <c r="C21" s="50"/>
      <c r="D21" s="51"/>
      <c r="E21" s="52"/>
      <c r="F21" s="53"/>
      <c r="G21" s="48" t="s">
        <v>16</v>
      </c>
      <c r="H21" s="48" t="s">
        <v>17</v>
      </c>
      <c r="I21" s="48" t="s">
        <v>18</v>
      </c>
      <c r="J21" s="54" t="s">
        <v>19</v>
      </c>
      <c r="K21" s="48" t="s">
        <v>20</v>
      </c>
      <c r="M21" s="55"/>
      <c r="N21" s="56"/>
      <c r="O21" s="57"/>
      <c r="Q21" s="56"/>
      <c r="R21" s="57"/>
    </row>
    <row r="22" s="2" customFormat="1" ht="15" customHeight="1" spans="1:20">
      <c r="A22" s="58"/>
      <c r="B22" s="59" t="s">
        <v>21</v>
      </c>
      <c r="C22" s="60" t="s">
        <v>15</v>
      </c>
      <c r="D22" s="61" t="s">
        <v>22</v>
      </c>
      <c r="E22" s="62" t="s">
        <v>23</v>
      </c>
      <c r="F22" s="63" t="s">
        <v>24</v>
      </c>
      <c r="G22" s="58"/>
      <c r="H22" s="58"/>
      <c r="I22" s="58"/>
      <c r="J22" s="64">
        <v>0</v>
      </c>
      <c r="K22" s="58"/>
      <c r="L22" s="65" t="s">
        <v>25</v>
      </c>
      <c r="M22" s="65"/>
      <c r="N22" s="66" t="s">
        <v>26</v>
      </c>
      <c r="O22" s="67" t="s">
        <v>27</v>
      </c>
      <c r="Q22" s="68" t="s">
        <v>26</v>
      </c>
      <c r="R22" s="69" t="s">
        <v>27</v>
      </c>
      <c r="S22" s="70"/>
      <c r="T22" s="71"/>
    </row>
    <row r="23" s="2" customFormat="1" ht="15" customHeight="1" spans="1:20">
      <c r="A23" s="72">
        <v>1</v>
      </c>
      <c r="B23" s="73">
        <v>0</v>
      </c>
      <c r="C23" s="74">
        <f>B23*G23</f>
        <v>0</v>
      </c>
      <c r="D23" s="75"/>
      <c r="E23" s="76"/>
      <c r="F23" s="77"/>
      <c r="G23" s="78">
        <v>0</v>
      </c>
      <c r="H23" s="79">
        <f>(E23*F23*G23)*0.0001</f>
        <v>0</v>
      </c>
      <c r="I23" s="80"/>
      <c r="J23" s="81">
        <f>I23-I23*$J$22</f>
        <v>0</v>
      </c>
      <c r="K23" s="82">
        <f>G23*J23</f>
        <v>0</v>
      </c>
      <c r="L23" s="65">
        <f>E23*G23/100</f>
        <v>0</v>
      </c>
      <c r="M23" s="65">
        <f>(F23*G23)/100*2</f>
        <v>0</v>
      </c>
      <c r="N23" s="83"/>
      <c r="O23" s="84"/>
      <c r="Q23" s="83"/>
      <c r="R23" s="84"/>
      <c r="S23" s="70"/>
      <c r="T23" s="71"/>
    </row>
    <row r="24" s="2" customFormat="1" ht="15" customHeight="1" spans="1:20">
      <c r="A24" s="72">
        <v>2</v>
      </c>
      <c r="B24" s="73">
        <v>0</v>
      </c>
      <c r="C24" s="74">
        <f>B24*G24</f>
        <v>0</v>
      </c>
      <c r="D24" s="75"/>
      <c r="E24" s="76"/>
      <c r="F24" s="77"/>
      <c r="G24" s="78">
        <v>0</v>
      </c>
      <c r="H24" s="79">
        <f>(E24*F24*G24)*0.0001</f>
        <v>0</v>
      </c>
      <c r="I24" s="80"/>
      <c r="J24" s="81">
        <f>I24-I24*$J$22</f>
        <v>0</v>
      </c>
      <c r="K24" s="82">
        <f>G24*J24</f>
        <v>0</v>
      </c>
      <c r="L24" s="65">
        <f>E24*G24/100</f>
        <v>0</v>
      </c>
      <c r="M24" s="65">
        <f>(F24*G24)/100*2</f>
        <v>0</v>
      </c>
      <c r="N24" s="83"/>
      <c r="O24" s="84"/>
      <c r="Q24" s="83"/>
      <c r="R24" s="84"/>
      <c r="S24" s="70"/>
      <c r="T24" s="71"/>
    </row>
    <row r="25" s="3" customFormat="1" ht="21" customHeight="1" spans="1:20">
      <c r="A25" s="85"/>
      <c r="B25" s="86"/>
      <c r="C25" s="86"/>
      <c r="D25" s="87"/>
      <c r="E25" s="87" t="s">
        <v>28</v>
      </c>
      <c r="F25" s="88"/>
      <c r="G25" s="89">
        <f>SUM(G23:G24)</f>
        <v>0</v>
      </c>
      <c r="H25" s="90">
        <f>SUM(H23:H24)</f>
        <v>0</v>
      </c>
      <c r="I25" s="91" t="s">
        <v>29</v>
      </c>
      <c r="J25" s="92"/>
      <c r="K25" s="93">
        <f>SUM(K23:K24)</f>
        <v>0</v>
      </c>
      <c r="L25" s="94"/>
      <c r="O25" s="95" t="e">
        <f>SUM(#REF!)</f>
        <v>#REF!</v>
      </c>
      <c r="R25" s="95" t="e">
        <f>SUM(#REF!)</f>
        <v>#REF!</v>
      </c>
      <c r="T25"/>
    </row>
    <row r="26" s="2" customFormat="1" ht="16.15" customHeight="1" spans="1:20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7"/>
      <c r="T26" s="71"/>
    </row>
    <row r="27" s="3" customFormat="1" ht="21.75" customHeight="1" spans="1:20">
      <c r="A27" s="98"/>
      <c r="B27" s="91" t="s">
        <v>30</v>
      </c>
      <c r="C27" s="99"/>
      <c r="D27" s="99"/>
      <c r="E27" s="99"/>
      <c r="F27" s="99"/>
      <c r="G27" s="99"/>
      <c r="H27" s="99"/>
      <c r="I27" s="99"/>
      <c r="J27" s="99"/>
      <c r="K27" s="100"/>
      <c r="T27"/>
    </row>
    <row r="28" s="2" customFormat="1" ht="16.15" customHeight="1" spans="1:20">
      <c r="A28" s="96"/>
      <c r="B28" s="101"/>
      <c r="C28" s="102"/>
      <c r="D28" s="102"/>
      <c r="E28" s="102"/>
      <c r="F28" s="103"/>
      <c r="G28" s="104" t="s">
        <v>16</v>
      </c>
      <c r="H28" s="105" t="s">
        <v>31</v>
      </c>
      <c r="I28" s="106" t="s">
        <v>32</v>
      </c>
      <c r="J28" s="107" t="s">
        <v>19</v>
      </c>
      <c r="K28" s="105" t="s">
        <v>20</v>
      </c>
      <c r="T28" s="71"/>
    </row>
    <row r="29" s="2" customFormat="1" ht="15.75" spans="1:20">
      <c r="A29" s="96"/>
      <c r="B29" s="108"/>
      <c r="C29" s="109"/>
      <c r="D29" s="109"/>
      <c r="E29" s="109"/>
      <c r="F29" s="110"/>
      <c r="G29" s="111"/>
      <c r="H29" s="58"/>
      <c r="I29" s="112" t="s">
        <v>31</v>
      </c>
      <c r="J29" s="113"/>
      <c r="K29" s="58" t="s">
        <v>33</v>
      </c>
      <c r="T29"/>
    </row>
    <row r="30" s="2" customFormat="1" ht="16.15" customHeight="1" spans="1:20">
      <c r="A30" s="96"/>
      <c r="B30" s="114" t="s">
        <v>34</v>
      </c>
      <c r="C30" s="115"/>
      <c r="D30" s="115"/>
      <c r="E30" s="115"/>
      <c r="F30" s="115"/>
      <c r="G30" s="115"/>
      <c r="H30" s="115"/>
      <c r="I30" s="116"/>
      <c r="J30" s="117">
        <v>0</v>
      </c>
      <c r="K30" s="118"/>
      <c r="T30" s="71"/>
    </row>
    <row r="31" s="2" customFormat="1" ht="16.15" customHeight="1" spans="1:20">
      <c r="A31" s="96"/>
      <c r="B31" s="119" t="s">
        <v>35</v>
      </c>
      <c r="C31" s="120"/>
      <c r="D31" s="120"/>
      <c r="E31" s="120"/>
      <c r="F31" s="121"/>
      <c r="G31" s="78">
        <f>SUM(C23:C24)</f>
        <v>0</v>
      </c>
      <c r="H31" s="122" t="s">
        <v>36</v>
      </c>
      <c r="I31" s="123">
        <v>190</v>
      </c>
      <c r="J31" s="81">
        <f>I31-I31*$J$30</f>
        <v>190</v>
      </c>
      <c r="K31" s="118">
        <f>G31*J31</f>
        <v>0</v>
      </c>
      <c r="T31"/>
    </row>
    <row r="32" s="2" customFormat="1" ht="16.15" customHeight="1" spans="1:20">
      <c r="A32" s="96"/>
      <c r="B32" s="119" t="s">
        <v>37</v>
      </c>
      <c r="C32" s="120"/>
      <c r="D32" s="120"/>
      <c r="E32" s="120"/>
      <c r="F32" s="121"/>
      <c r="G32" s="124">
        <f>SUM(L23:L24)</f>
        <v>0</v>
      </c>
      <c r="H32" s="122" t="s">
        <v>38</v>
      </c>
      <c r="I32" s="123">
        <v>280</v>
      </c>
      <c r="J32" s="81">
        <f>I32-I32*$J$30</f>
        <v>280</v>
      </c>
      <c r="K32" s="118">
        <f>G32*J32</f>
        <v>0</v>
      </c>
      <c r="T32"/>
    </row>
    <row r="33" s="2" customFormat="1" ht="16.15" customHeight="1" spans="1:20">
      <c r="A33" s="96"/>
      <c r="B33" s="119" t="s">
        <v>39</v>
      </c>
      <c r="C33" s="120"/>
      <c r="D33" s="120"/>
      <c r="E33" s="120"/>
      <c r="F33" s="121"/>
      <c r="G33" s="124">
        <f>SUM(M23:M24)</f>
        <v>0</v>
      </c>
      <c r="H33" s="122" t="s">
        <v>38</v>
      </c>
      <c r="I33" s="123">
        <v>150</v>
      </c>
      <c r="J33" s="81">
        <f>I33-I33*$J$30</f>
        <v>150</v>
      </c>
      <c r="K33" s="118">
        <f>G33*J33</f>
        <v>0</v>
      </c>
      <c r="T33"/>
    </row>
    <row r="34" s="2" customFormat="1" ht="16.15" customHeight="1" spans="1:20">
      <c r="A34" s="96"/>
      <c r="B34" s="119" t="s">
        <v>40</v>
      </c>
      <c r="C34" s="120"/>
      <c r="D34" s="120"/>
      <c r="E34" s="120"/>
      <c r="F34" s="121"/>
      <c r="G34" s="124">
        <f>SUM(L23:L24)</f>
        <v>0</v>
      </c>
      <c r="H34" s="122" t="s">
        <v>38</v>
      </c>
      <c r="I34" s="123">
        <v>1250</v>
      </c>
      <c r="J34" s="81">
        <f>I34-I34*$J$30</f>
        <v>1250</v>
      </c>
      <c r="K34" s="118">
        <f>G34*J34</f>
        <v>0</v>
      </c>
      <c r="T34"/>
    </row>
    <row r="35" s="2" customFormat="1" ht="16.15" customHeight="1" spans="1:20">
      <c r="A35" s="96"/>
      <c r="B35" s="125" t="s">
        <v>41</v>
      </c>
      <c r="C35" s="126"/>
      <c r="D35" s="126"/>
      <c r="E35" s="126"/>
      <c r="F35" s="127"/>
      <c r="G35" s="78">
        <f>G25</f>
        <v>0</v>
      </c>
      <c r="H35" s="122" t="s">
        <v>36</v>
      </c>
      <c r="I35" s="123">
        <v>6550</v>
      </c>
      <c r="J35" s="81">
        <f>I35-I35*$J$30</f>
        <v>6550</v>
      </c>
      <c r="K35" s="118">
        <f>G35*J35</f>
        <v>0</v>
      </c>
      <c r="T35"/>
    </row>
    <row r="36" s="2" customFormat="1" ht="16.15" customHeight="1" spans="1:20">
      <c r="A36" s="96"/>
      <c r="B36" s="114" t="s">
        <v>42</v>
      </c>
      <c r="C36" s="115"/>
      <c r="D36" s="115"/>
      <c r="E36" s="115"/>
      <c r="F36" s="115"/>
      <c r="G36" s="115"/>
      <c r="H36" s="115"/>
      <c r="I36" s="116"/>
      <c r="J36" s="128"/>
      <c r="K36" s="129"/>
    </row>
    <row r="37" s="2" customFormat="1" ht="16.15" customHeight="1" spans="1:20">
      <c r="A37" s="96"/>
      <c r="B37" s="130" t="s">
        <v>43</v>
      </c>
      <c r="C37" s="131"/>
      <c r="D37" s="131"/>
      <c r="E37" s="131"/>
      <c r="F37" s="131"/>
      <c r="G37" s="78">
        <v>1</v>
      </c>
      <c r="H37" s="132" t="s">
        <v>36</v>
      </c>
      <c r="I37" s="133">
        <v>0</v>
      </c>
      <c r="J37" s="134">
        <f>I37</f>
        <v>0</v>
      </c>
      <c r="K37" s="135">
        <f>G37*J37</f>
        <v>0</v>
      </c>
    </row>
    <row r="38" s="2" customFormat="1" ht="16.15" customHeight="1" spans="1:20">
      <c r="A38" s="96"/>
      <c r="B38" s="130" t="s">
        <v>44</v>
      </c>
      <c r="C38" s="131"/>
      <c r="D38" s="131"/>
      <c r="E38" s="131"/>
      <c r="F38" s="131"/>
      <c r="G38" s="78">
        <f>G25</f>
        <v>0</v>
      </c>
      <c r="H38" s="132" t="s">
        <v>36</v>
      </c>
      <c r="I38" s="133">
        <v>1400</v>
      </c>
      <c r="J38" s="134">
        <f>I38</f>
        <v>1400</v>
      </c>
      <c r="K38" s="135">
        <f>G38*J38</f>
        <v>0</v>
      </c>
    </row>
    <row r="39" s="2" customFormat="1" ht="21" customHeight="1" spans="1:20">
      <c r="A39" s="96"/>
      <c r="B39" s="136"/>
      <c r="C39" s="137"/>
      <c r="D39" s="137"/>
      <c r="E39" s="137"/>
      <c r="F39" s="137"/>
      <c r="G39" s="137"/>
      <c r="H39" s="137"/>
      <c r="I39" s="138" t="s">
        <v>45</v>
      </c>
      <c r="J39" s="139"/>
      <c r="K39" s="140">
        <f>SUM(K30:K38)</f>
        <v>0</v>
      </c>
    </row>
    <row r="40" s="2" customFormat="1" ht="4.5" customHeight="1" spans="1:20">
      <c r="A40" s="96"/>
      <c r="B40" s="33"/>
      <c r="C40" s="141"/>
      <c r="D40" s="141"/>
      <c r="E40" s="141"/>
      <c r="F40" s="141"/>
      <c r="G40" s="141"/>
      <c r="H40" s="141"/>
      <c r="I40" s="142"/>
      <c r="J40" s="143"/>
      <c r="K40" s="144"/>
    </row>
    <row r="41" s="2" customFormat="1" ht="21" customHeight="1" spans="1:20">
      <c r="A41" s="96"/>
      <c r="B41" s="145" t="s">
        <v>46</v>
      </c>
      <c r="C41" s="141"/>
      <c r="D41" s="141"/>
      <c r="E41" s="141"/>
      <c r="F41" s="141"/>
      <c r="G41" s="141"/>
      <c r="H41" s="146" t="s">
        <v>47</v>
      </c>
      <c r="I41" s="147"/>
      <c r="J41" s="148"/>
      <c r="K41" s="149">
        <f>K25+K39</f>
        <v>0</v>
      </c>
    </row>
    <row r="42" s="2" customFormat="1" ht="17.25" customHeight="1" spans="1:20">
      <c r="A42" s="96"/>
      <c r="B42" s="145"/>
      <c r="C42" s="141"/>
      <c r="D42" s="141"/>
      <c r="E42" s="141"/>
      <c r="F42" s="141"/>
      <c r="G42" s="141"/>
      <c r="H42" s="150" t="s">
        <v>48</v>
      </c>
      <c r="I42" s="151">
        <v>0.12</v>
      </c>
      <c r="J42" s="152"/>
      <c r="K42" s="153">
        <f>SUM(K41:K41)*I42</f>
        <v>0</v>
      </c>
    </row>
    <row r="43" s="2" customFormat="1" ht="30.75" customHeight="1" spans="1:20">
      <c r="A43" s="96"/>
      <c r="B43" s="154"/>
      <c r="C43" s="141"/>
      <c r="D43" s="141"/>
      <c r="E43" s="141"/>
      <c r="F43" s="141"/>
      <c r="G43" s="141"/>
      <c r="H43" s="155" t="s">
        <v>49</v>
      </c>
      <c r="I43" s="156"/>
      <c r="J43" s="157"/>
      <c r="K43" s="158">
        <f>SUM(K41:K42)</f>
        <v>0</v>
      </c>
    </row>
    <row r="44" s="2" customFormat="1" ht="30.75" customHeight="1" spans="1:20">
      <c r="A44" s="96"/>
      <c r="B44" s="154"/>
      <c r="C44" s="141"/>
      <c r="D44" s="141"/>
      <c r="E44" s="141"/>
      <c r="F44" s="141"/>
      <c r="G44" s="141"/>
      <c r="H44" s="159"/>
      <c r="I44" s="160"/>
      <c r="J44" s="161"/>
      <c r="K44" s="162"/>
    </row>
    <row r="45" s="2" customFormat="1" ht="13.5" customHeight="1" spans="1:20">
      <c r="A45" s="70"/>
      <c r="B45" s="163"/>
      <c r="C45" s="70"/>
      <c r="D45" s="70"/>
      <c r="E45" s="70"/>
      <c r="F45" s="70"/>
      <c r="G45" s="70"/>
      <c r="H45" s="70"/>
      <c r="I45" s="164"/>
      <c r="J45" s="165"/>
      <c r="K45" s="166"/>
    </row>
    <row r="46" s="2" customFormat="1" ht="15.75" spans="1:20">
      <c r="A46" s="167"/>
      <c r="B46" s="168" t="s">
        <v>50</v>
      </c>
      <c r="D46" s="40" t="s">
        <v>51</v>
      </c>
      <c r="E46" s="40" t="s">
        <v>52</v>
      </c>
      <c r="F46" s="70"/>
      <c r="G46" s="70"/>
      <c r="H46" s="70"/>
      <c r="I46" s="70"/>
      <c r="K46" s="169"/>
      <c r="L46" s="166"/>
    </row>
    <row r="47" s="2" customFormat="1" ht="15.75" spans="1:20">
      <c r="A47" s="167"/>
      <c r="B47" s="168" t="s">
        <v>53</v>
      </c>
      <c r="E47" s="40" t="s">
        <v>54</v>
      </c>
      <c r="F47" s="70"/>
      <c r="G47" s="70"/>
      <c r="H47" s="70"/>
      <c r="I47" s="164"/>
      <c r="J47" s="165"/>
      <c r="K47" s="166"/>
    </row>
    <row r="48" ht="16.15" customHeight="1" spans="1:20">
      <c r="A48" s="28"/>
      <c r="B48" s="168" t="s">
        <v>55</v>
      </c>
      <c r="C48" s="28"/>
      <c r="D48" s="28"/>
      <c r="E48" s="40" t="s">
        <v>56</v>
      </c>
      <c r="F48" s="28"/>
      <c r="G48" s="28"/>
      <c r="H48" s="28"/>
      <c r="I48" s="28"/>
      <c r="J48" s="28"/>
      <c r="K48" s="170"/>
    </row>
    <row r="49" s="2" customFormat="1" ht="16.5" customHeight="1" spans="1:12">
      <c r="A49" s="171"/>
      <c r="B49" s="171"/>
      <c r="C49" s="172"/>
      <c r="D49" s="172"/>
      <c r="E49" s="171"/>
      <c r="F49" s="172"/>
      <c r="G49" s="173"/>
      <c r="L49" s="174"/>
    </row>
    <row r="50" s="2" customFormat="1" ht="15" customHeight="1" spans="1:12">
      <c r="A50" s="175"/>
      <c r="B50" s="176"/>
      <c r="C50" s="172"/>
      <c r="D50" s="172"/>
      <c r="E50" s="176"/>
      <c r="F50" s="177"/>
      <c r="G50" s="177"/>
      <c r="L50" s="174"/>
    </row>
    <row r="51" s="2" customFormat="1" ht="15" customHeight="1" spans="1:12">
      <c r="A51" s="178"/>
      <c r="B51" s="176"/>
      <c r="C51" s="172"/>
      <c r="D51" s="172"/>
      <c r="E51" s="176"/>
      <c r="F51" s="179"/>
      <c r="G51" s="180"/>
      <c r="H51" s="172"/>
      <c r="K51" s="181"/>
      <c r="L51" s="174"/>
    </row>
    <row r="52" s="2" customFormat="1" ht="15.75" spans="1:12">
      <c r="K52" s="43"/>
    </row>
    <row r="53" spans="1:12">
      <c r="C53" s="28"/>
      <c r="D53" s="28"/>
      <c r="E53" s="28"/>
    </row>
    <row r="54" spans="1:12">
      <c r="C54" s="28"/>
      <c r="D54" s="28"/>
      <c r="E54" s="28"/>
    </row>
    <row r="55" spans="1:12">
      <c r="C55" s="28"/>
      <c r="D55" s="28"/>
      <c r="E55" s="28"/>
    </row>
    <row r="56" spans="1:12">
      <c r="C56" s="28"/>
      <c r="D56" s="28"/>
      <c r="E56" s="28"/>
    </row>
    <row r="57" spans="1:12">
      <c r="C57" s="28"/>
      <c r="D57" s="28"/>
      <c r="E57" s="28"/>
    </row>
    <row r="58" spans="1:12">
      <c r="C58" s="28"/>
      <c r="D58" s="28"/>
      <c r="E58" s="28"/>
    </row>
    <row r="59" spans="1:12">
      <c r="C59" s="28"/>
      <c r="D59" s="28"/>
      <c r="E59" s="28"/>
    </row>
    <row r="60" spans="1:12">
      <c r="C60" s="28"/>
      <c r="D60" s="28"/>
      <c r="E60" s="28"/>
    </row>
    <row r="61" spans="1:12">
      <c r="C61" s="28"/>
      <c r="D61" s="28"/>
      <c r="E61" s="28"/>
    </row>
    <row r="62" spans="1:12">
      <c r="C62" s="28"/>
      <c r="D62" s="28"/>
      <c r="E62" s="28"/>
    </row>
    <row r="63" spans="1:12">
      <c r="C63" s="28"/>
      <c r="D63" s="28"/>
      <c r="E63" s="28"/>
    </row>
    <row r="64" spans="1:12">
      <c r="C64" s="28"/>
      <c r="D64" s="28"/>
      <c r="E64" s="28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</sheetData>
  <mergeCells count="23">
    <mergeCell ref="C21:D21"/>
    <mergeCell ref="E21:F21"/>
    <mergeCell ref="N21:O21"/>
    <mergeCell ref="Q21:R21"/>
    <mergeCell ref="L22:M22"/>
    <mergeCell ref="C25:D25"/>
    <mergeCell ref="E25:F25"/>
    <mergeCell ref="I25:J25"/>
    <mergeCell ref="B27:K27"/>
    <mergeCell ref="B30:I30"/>
    <mergeCell ref="B35:F35"/>
    <mergeCell ref="B36:I36"/>
    <mergeCell ref="I39:J39"/>
    <mergeCell ref="A21:A22"/>
    <mergeCell ref="G21:G22"/>
    <mergeCell ref="G28:G29"/>
    <mergeCell ref="H21:H22"/>
    <mergeCell ref="H28:H29"/>
    <mergeCell ref="I21:I22"/>
    <mergeCell ref="J28:J29"/>
    <mergeCell ref="K21:K22"/>
    <mergeCell ref="K28:K29"/>
    <mergeCell ref="B28:F29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2010-02-12T08:06:29Z</dcterms:created>
  <cp:lastPrinted>2023-04-03T15:45:14Z</cp:lastPrinted>
  <dcterms:modified xsi:type="dcterms:W3CDTF">2026-10-23T13:26:51Z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0F6AC5BB7A1B4A87BCF87677A1B09BCC_13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