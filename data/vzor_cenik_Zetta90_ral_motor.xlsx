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venkovní žaluzie" sheetId="3" r:id="rId1"/>
  </sheets>
  <definedNames>
    <definedName name="_xlnm.Print_Area" localSheetId="0">'venkovní žaluzie'!$A$1:$K$65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<sst xmlns="http://schemas.openxmlformats.org/spreadsheetml/2006/main" count="70" uniqueCount="58">
  <si>
    <t xml:space="preserve">Zákazník: </t>
  </si>
  <si>
    <t xml:space="preserve">Nabídka č. </t>
  </si>
  <si>
    <t xml:space="preserve">Místo realizace: </t>
  </si>
  <si>
    <t>Datum:</t>
  </si>
  <si>
    <t xml:space="preserve">Typ výrobku: </t>
  </si>
  <si>
    <t xml:space="preserve">Venkovní žaluzie - Zetta 90 </t>
  </si>
  <si>
    <t xml:space="preserve">Provedení: </t>
  </si>
  <si>
    <t xml:space="preserve"> - ovládání motorické-dálkové, výběr ovladačů viz "Příslušenství Somfy"</t>
  </si>
  <si>
    <t xml:space="preserve"> - cena za vybrané ovladače bude následně k nabídce přičtena</t>
  </si>
  <si>
    <t xml:space="preserve"> - motory Somfy J4S iO - tichý chod s detekcí překážky</t>
  </si>
  <si>
    <t xml:space="preserve"> - motory lze ovládat přes mobilní aplikaci (nutno dokoupit Somfy Tahoma Switch)</t>
  </si>
  <si>
    <t xml:space="preserve"> - včetně vnějších krycích plechů - libovolná barva RAL</t>
  </si>
  <si>
    <t xml:space="preserve"> - barva lamel standard dle vzorníku</t>
  </si>
  <si>
    <t xml:space="preserve"> - spodní profil a vodící lišty - libovolná barva RAL</t>
  </si>
  <si>
    <t>Poznámka: v případě nutnosti montáže z interiéru ve vyšších patrech bude účtován příplatek 450,- bez DPH/ks</t>
  </si>
  <si>
    <t>Pol.</t>
  </si>
  <si>
    <t>držáky</t>
  </si>
  <si>
    <t>počet</t>
  </si>
  <si>
    <t>m2</t>
  </si>
  <si>
    <t>Cena/ks</t>
  </si>
  <si>
    <t>Sleva</t>
  </si>
  <si>
    <t>Celková cena</t>
  </si>
  <si>
    <t>1 žal.</t>
  </si>
  <si>
    <t>výška nábalu</t>
  </si>
  <si>
    <t>šířka</t>
  </si>
  <si>
    <t>výška</t>
  </si>
  <si>
    <t>krycí plechy</t>
  </si>
  <si>
    <t>1 ks žal</t>
  </si>
  <si>
    <t>celkem</t>
  </si>
  <si>
    <t>Součet</t>
  </si>
  <si>
    <t>Cena za žaluzie :</t>
  </si>
  <si>
    <t>PŘÍPLATKY A PŘÍSLUŠENSTVÍ</t>
  </si>
  <si>
    <t>MJ</t>
  </si>
  <si>
    <t>Cena za</t>
  </si>
  <si>
    <t>Kč</t>
  </si>
  <si>
    <t>Ostatní příslušenství</t>
  </si>
  <si>
    <t>Držák žaluzie a krycích plechů</t>
  </si>
  <si>
    <t>ks</t>
  </si>
  <si>
    <t>Krycí plechy vnější</t>
  </si>
  <si>
    <t>bm</t>
  </si>
  <si>
    <t>Lakování spodního profilu dle RAL</t>
  </si>
  <si>
    <t>Lakování vodících lišt dle RAL</t>
  </si>
  <si>
    <t>Motor Somfy J4s iO vč. přijímače DO</t>
  </si>
  <si>
    <t>Montáž + doprava</t>
  </si>
  <si>
    <t>Doprava (1x zaměření 1x montáž)</t>
  </si>
  <si>
    <t xml:space="preserve">Montáž </t>
  </si>
  <si>
    <t>Příplatky celkem :</t>
  </si>
  <si>
    <t xml:space="preserve"> - nabídka neobsahuje elektropřípravu</t>
  </si>
  <si>
    <t>Součet celkem :</t>
  </si>
  <si>
    <t>DPH :</t>
  </si>
  <si>
    <t>Cena zakázky po slevě :</t>
  </si>
  <si>
    <t xml:space="preserve">Termín dodání: </t>
  </si>
  <si>
    <t xml:space="preserve">   </t>
  </si>
  <si>
    <t>cca 3-4 týdny od uhrazení zálohové faktury (50%)</t>
  </si>
  <si>
    <t xml:space="preserve">Záruční podmínky: </t>
  </si>
  <si>
    <t>3 roky na žaluzie, 5 let na příslušenství Somfy</t>
  </si>
  <si>
    <t xml:space="preserve">Platnost nabídky: </t>
  </si>
  <si>
    <t>1 týden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</si>
</sst>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-* #,##0.00\ _K_č_-;\-* #,##0.00\ _K_č_-;_-* &quot;-&quot;??\ _K_č_-;_-@_-"/>
    <numFmt numFmtId="177" formatCode="_-* #,##0.00\ &quot;Kč&quot;_-;\-* #,##0.00\ &quot;Kč&quot;_-;_-* &quot;-&quot;??\ &quot;Kč&quot;_-;_-@_-"/>
    <numFmt numFmtId="178" formatCode="_-* #,##0\ _K_č_-;\-* #,##0\ _K_č_-;_-* &quot;-&quot;\ _K_č_-;_-@_-"/>
    <numFmt numFmtId="179" formatCode="_-* #,##0\ &quot;Kč&quot;_-;\-* #,##0\ &quot;Kč&quot;_-;_-* &quot;-&quot;\ &quot;Kč&quot;_-;_-@_-"/>
    <numFmt numFmtId="180" formatCode="000"/>
    <numFmt numFmtId="181" formatCode="d/m/yyyy;@"/>
    <numFmt numFmtId="182" formatCode="0.0"/>
    <numFmt numFmtId="183" formatCode="#,##0\ &quot;Kč&quot;"/>
    <numFmt numFmtId="184" formatCode="#,##0.00\ &quot;Kč&quot;"/>
  </numFmts>
  <fonts count="54">
    <font>
      <sz val="10"/>
      <name val="Arial CE"/>
      <charset val="238"/>
    </font>
    <font>
      <sz val="12"/>
      <name val="Times New Roman CE"/>
      <charset val="238"/>
    </font>
    <font>
      <sz val="10"/>
      <name val="Times New Roman CE"/>
      <charset val="238"/>
    </font>
    <font>
      <b/>
      <sz val="10"/>
      <color indexed="12"/>
      <name val="Times New Roman CE"/>
      <charset val="238"/>
    </font>
    <font>
      <b/>
      <sz val="9"/>
      <color indexed="12"/>
      <name val="Times New Roman CE"/>
      <charset val="238"/>
    </font>
    <font>
      <sz val="10"/>
      <color indexed="12"/>
      <name val="Times New Roman CE"/>
      <charset val="238"/>
    </font>
    <font>
      <sz val="9"/>
      <color indexed="12"/>
      <name val="Times New Roman CE"/>
      <charset val="238"/>
    </font>
    <font>
      <b/>
      <sz val="12"/>
      <name val="Times New Roman CE"/>
      <charset val="238"/>
    </font>
    <font>
      <sz val="12"/>
      <name val="Arial CE"/>
      <charset val="238"/>
    </font>
    <font>
      <b/>
      <sz val="12"/>
      <color rgb="FFFF0000"/>
      <name val="Times New Roman CE"/>
      <charset val="238"/>
    </font>
    <font>
      <u/>
      <sz val="10"/>
      <color theme="10"/>
      <name val="Arial CE"/>
      <charset val="238"/>
    </font>
    <font>
      <b/>
      <sz val="10"/>
      <name val="Times New Roman CE"/>
      <charset val="238"/>
    </font>
    <font>
      <b/>
      <sz val="11"/>
      <color rgb="FF30A9C6"/>
      <name val="Arial"/>
      <charset val="238"/>
    </font>
    <font>
      <b/>
      <sz val="11"/>
      <name val="Arial"/>
      <charset val="238"/>
    </font>
    <font>
      <b/>
      <sz val="11"/>
      <color rgb="FF005F8E"/>
      <name val="Arial"/>
      <charset val="238"/>
    </font>
    <font>
      <b/>
      <sz val="10"/>
      <name val="Arial CE"/>
      <charset val="238"/>
    </font>
    <font>
      <b/>
      <sz val="12"/>
      <color theme="1"/>
      <name val="Times New Roman CE"/>
      <charset val="238"/>
    </font>
    <font>
      <sz val="10"/>
      <name val="Arial"/>
      <charset val="238"/>
    </font>
    <font>
      <i/>
      <sz val="12"/>
      <name val="Times New Roman CE"/>
      <charset val="238"/>
    </font>
    <font>
      <u/>
      <sz val="10"/>
      <color indexed="48"/>
      <name val="Times New Roman CE"/>
      <charset val="238"/>
    </font>
    <font>
      <sz val="11"/>
      <name val="Arial"/>
      <charset val="238"/>
    </font>
    <font>
      <u/>
      <sz val="12"/>
      <color indexed="48"/>
      <name val="Times New Roman CE"/>
      <charset val="238"/>
    </font>
    <font>
      <b/>
      <sz val="9"/>
      <color rgb="FFFF0000"/>
      <name val="Arial"/>
      <charset val="238"/>
    </font>
    <font>
      <b/>
      <sz val="11"/>
      <color rgb="FFFF0000"/>
      <name val="Arial"/>
      <charset val="238"/>
    </font>
    <font>
      <i/>
      <sz val="8"/>
      <name val="Arial"/>
      <charset val="238"/>
    </font>
    <font>
      <b/>
      <i/>
      <sz val="10"/>
      <name val="Arial"/>
      <charset val="238"/>
    </font>
    <font>
      <i/>
      <sz val="10"/>
      <name val="Arial"/>
      <charset val="238"/>
    </font>
    <font>
      <b/>
      <i/>
      <sz val="10"/>
      <name val="Times New Roman CE"/>
      <charset val="238"/>
    </font>
    <font>
      <b/>
      <i/>
      <sz val="7"/>
      <name val="Arial"/>
      <charset val="238"/>
    </font>
    <font>
      <sz val="12"/>
      <color theme="0"/>
      <name val="Times New Roman CE"/>
      <charset val="238"/>
    </font>
    <font>
      <sz val="12"/>
      <name val="Times New Roman"/>
      <charset val="238"/>
    </font>
    <font>
      <b/>
      <sz val="12"/>
      <name val="Arial"/>
      <charset val="238"/>
    </font>
    <font>
      <sz val="12"/>
      <name val="Arial"/>
      <charset val="238"/>
    </font>
    <font>
      <sz val="12"/>
      <color rgb="FFFF0000"/>
      <name val="Times New Roman CE"/>
      <charset val="238"/>
    </font>
    <font>
      <sz val="11"/>
      <name val="Times New Roman CE"/>
      <charset val="238"/>
    </font>
    <font>
      <b/>
      <u/>
      <sz val="12"/>
      <name val="Times New Roman CE"/>
      <charset val="238"/>
    </font>
    <font>
      <u/>
      <sz val="10"/>
      <color theme="11"/>
      <name val="Arial CE"/>
      <charset val="238"/>
    </font>
    <font>
      <sz val="11"/>
      <color rgb="FFFF0000"/>
      <name val="Calibri"/>
      <charset val="238"/>
      <scheme val="minor"/>
    </font>
    <font>
      <b/>
      <sz val="18"/>
      <color theme="3"/>
      <name val="Cambria"/>
      <charset val="238"/>
      <scheme val="major"/>
    </font>
    <font>
      <i/>
      <sz val="11"/>
      <color rgb="FF7F7F7F"/>
      <name val="Calibri"/>
      <charset val="238"/>
      <scheme val="minor"/>
    </font>
    <font>
      <b/>
      <sz val="15"/>
      <color theme="3"/>
      <name val="Calibri"/>
      <charset val="238"/>
      <scheme val="minor"/>
    </font>
    <font>
      <b/>
      <sz val="13"/>
      <color theme="3"/>
      <name val="Calibri"/>
      <charset val="238"/>
      <scheme val="minor"/>
    </font>
    <font>
      <b/>
      <sz val="11"/>
      <color theme="3"/>
      <name val="Calibri"/>
      <charset val="238"/>
      <scheme val="minor"/>
    </font>
    <font>
      <sz val="11"/>
      <color rgb="FF3F3F76"/>
      <name val="Calibri"/>
      <charset val="238"/>
      <scheme val="minor"/>
    </font>
    <font>
      <b/>
      <sz val="11"/>
      <color rgb="FF3F3F3F"/>
      <name val="Calibri"/>
      <charset val="238"/>
      <scheme val="minor"/>
    </font>
    <font>
      <b/>
      <sz val="11"/>
      <color rgb="FFFA7D00"/>
      <name val="Calibri"/>
      <charset val="238"/>
      <scheme val="minor"/>
    </font>
    <font>
      <b/>
      <sz val="11"/>
      <color theme="0"/>
      <name val="Calibri"/>
      <charset val="238"/>
      <scheme val="minor"/>
    </font>
    <font>
      <sz val="11"/>
      <color rgb="FFFA7D00"/>
      <name val="Calibri"/>
      <charset val="238"/>
      <scheme val="minor"/>
    </font>
    <font>
      <b/>
      <sz val="11"/>
      <color theme="1"/>
      <name val="Calibri"/>
      <charset val="238"/>
      <scheme val="minor"/>
    </font>
    <font>
      <sz val="11"/>
      <color rgb="FF006100"/>
      <name val="Calibri"/>
      <charset val="238"/>
      <scheme val="minor"/>
    </font>
    <font>
      <sz val="11"/>
      <color rgb="FF9C0006"/>
      <name val="Calibri"/>
      <charset val="238"/>
      <scheme val="minor"/>
    </font>
    <font>
      <sz val="11"/>
      <color rgb="FF9C6500"/>
      <name val="Calibri"/>
      <charset val="238"/>
      <scheme val="minor"/>
    </font>
    <font>
      <sz val="11"/>
      <color theme="0"/>
      <name val="Calibri"/>
      <charset val="238"/>
      <scheme val="minor"/>
    </font>
    <font>
      <sz val="11"/>
      <color theme="1"/>
      <name val="Calibri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0A9C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4" borderId="34" applyNumberFormat="0" applyFont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35" applyNumberFormat="0" applyFill="0" applyAlignment="0" applyProtection="0"/>
    <xf numFmtId="0" fontId="41" fillId="0" borderId="36" applyNumberFormat="0" applyFill="0" applyAlignment="0" applyProtection="0"/>
    <xf numFmtId="0" fontId="42" fillId="0" borderId="37" applyNumberFormat="0" applyFill="0" applyAlignment="0" applyProtection="0"/>
    <xf numFmtId="0" fontId="42" fillId="0" borderId="0" applyNumberFormat="0" applyFill="0" applyBorder="0" applyAlignment="0" applyProtection="0"/>
    <xf numFmtId="0" fontId="43" fillId="5" borderId="38" applyNumberFormat="0" applyAlignment="0" applyProtection="0"/>
    <xf numFmtId="0" fontId="44" fillId="6" borderId="39" applyNumberFormat="0" applyAlignment="0" applyProtection="0"/>
    <xf numFmtId="0" fontId="45" fillId="6" borderId="38" applyNumberFormat="0" applyAlignment="0" applyProtection="0"/>
    <xf numFmtId="0" fontId="46" fillId="7" borderId="40" applyNumberFormat="0" applyAlignment="0" applyProtection="0"/>
    <xf numFmtId="0" fontId="47" fillId="0" borderId="41" applyNumberFormat="0" applyFill="0" applyAlignment="0" applyProtection="0"/>
    <xf numFmtId="0" fontId="48" fillId="0" borderId="42" applyNumberFormat="0" applyFill="0" applyAlignment="0" applyProtection="0"/>
    <xf numFmtId="0" fontId="49" fillId="8" borderId="0" applyNumberFormat="0" applyBorder="0" applyAlignment="0" applyProtection="0"/>
    <xf numFmtId="0" fontId="50" fillId="9" borderId="0" applyNumberFormat="0" applyBorder="0" applyAlignment="0" applyProtection="0"/>
    <xf numFmtId="0" fontId="51" fillId="10" borderId="0" applyNumberFormat="0" applyBorder="0" applyAlignment="0" applyProtection="0"/>
    <xf numFmtId="0" fontId="52" fillId="11" borderId="0" applyNumberFormat="0" applyBorder="0" applyAlignment="0" applyProtection="0"/>
    <xf numFmtId="0" fontId="53" fillId="12" borderId="0" applyNumberFormat="0" applyBorder="0" applyAlignment="0" applyProtection="0"/>
    <xf numFmtId="0" fontId="53" fillId="13" borderId="0" applyNumberFormat="0" applyBorder="0" applyAlignment="0" applyProtection="0"/>
    <xf numFmtId="0" fontId="52" fillId="14" borderId="0" applyNumberFormat="0" applyBorder="0" applyAlignment="0" applyProtection="0"/>
    <xf numFmtId="0" fontId="52" fillId="15" borderId="0" applyNumberFormat="0" applyBorder="0" applyAlignment="0" applyProtection="0"/>
    <xf numFmtId="0" fontId="53" fillId="16" borderId="0" applyNumberFormat="0" applyBorder="0" applyAlignment="0" applyProtection="0"/>
    <xf numFmtId="0" fontId="53" fillId="17" borderId="0" applyNumberFormat="0" applyBorder="0" applyAlignment="0" applyProtection="0"/>
    <xf numFmtId="0" fontId="52" fillId="18" borderId="0" applyNumberFormat="0" applyBorder="0" applyAlignment="0" applyProtection="0"/>
    <xf numFmtId="0" fontId="52" fillId="19" borderId="0" applyNumberFormat="0" applyBorder="0" applyAlignment="0" applyProtection="0"/>
    <xf numFmtId="0" fontId="53" fillId="20" borderId="0" applyNumberFormat="0" applyBorder="0" applyAlignment="0" applyProtection="0"/>
    <xf numFmtId="0" fontId="53" fillId="21" borderId="0" applyNumberFormat="0" applyBorder="0" applyAlignment="0" applyProtection="0"/>
    <xf numFmtId="0" fontId="52" fillId="22" borderId="0" applyNumberFormat="0" applyBorder="0" applyAlignment="0" applyProtection="0"/>
    <xf numFmtId="0" fontId="52" fillId="23" borderId="0" applyNumberFormat="0" applyBorder="0" applyAlignment="0" applyProtection="0"/>
    <xf numFmtId="0" fontId="53" fillId="24" borderId="0" applyNumberFormat="0" applyBorder="0" applyAlignment="0" applyProtection="0"/>
    <xf numFmtId="0" fontId="53" fillId="25" borderId="0" applyNumberFormat="0" applyBorder="0" applyAlignment="0" applyProtection="0"/>
    <xf numFmtId="0" fontId="52" fillId="26" borderId="0" applyNumberFormat="0" applyBorder="0" applyAlignment="0" applyProtection="0"/>
    <xf numFmtId="0" fontId="52" fillId="27" borderId="0" applyNumberFormat="0" applyBorder="0" applyAlignment="0" applyProtection="0"/>
    <xf numFmtId="0" fontId="53" fillId="28" borderId="0" applyNumberFormat="0" applyBorder="0" applyAlignment="0" applyProtection="0"/>
    <xf numFmtId="0" fontId="53" fillId="29" borderId="0" applyNumberFormat="0" applyBorder="0" applyAlignment="0" applyProtection="0"/>
    <xf numFmtId="0" fontId="52" fillId="30" borderId="0" applyNumberFormat="0" applyBorder="0" applyAlignment="0" applyProtection="0"/>
    <xf numFmtId="0" fontId="52" fillId="31" borderId="0" applyNumberFormat="0" applyBorder="0" applyAlignment="0" applyProtection="0"/>
    <xf numFmtId="0" fontId="53" fillId="32" borderId="0" applyNumberFormat="0" applyBorder="0" applyAlignment="0" applyProtection="0"/>
    <xf numFmtId="0" fontId="53" fillId="33" borderId="0" applyNumberFormat="0" applyBorder="0" applyAlignment="0" applyProtection="0"/>
    <xf numFmtId="0" fontId="52" fillId="34" borderId="0" applyNumberFormat="0" applyBorder="0" applyAlignment="0" applyProtection="0"/>
    <xf numFmtId="176" fontId="0" fillId="0" borderId="0" applyFont="0" applyFill="0" applyBorder="0" applyAlignment="0" applyProtection="0"/>
  </cellStyleXfs>
  <cellXfs count="18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/>
    <xf numFmtId="180" fontId="2" fillId="0" borderId="0" xfId="0" applyNumberFormat="1" applyFont="1" applyAlignment="1">
      <alignment horizontal="center" vertical="center"/>
    </xf>
    <xf numFmtId="0" fontId="3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2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58" fontId="7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right"/>
    </xf>
    <xf numFmtId="0" fontId="7" fillId="0" borderId="0" xfId="0" applyFont="1" applyFill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3" fontId="9" fillId="0" borderId="0" xfId="0" applyNumberFormat="1" applyFont="1" applyFill="1" applyBorder="1" applyAlignment="1">
      <alignment horizontal="right"/>
    </xf>
    <xf numFmtId="3" fontId="1" fillId="0" borderId="0" xfId="0" applyNumberFormat="1" applyFont="1" applyFill="1" applyBorder="1" applyAlignment="1"/>
    <xf numFmtId="3" fontId="7" fillId="0" borderId="0" xfId="0" applyNumberFormat="1" applyFont="1" applyFill="1" applyBorder="1" applyAlignment="1"/>
    <xf numFmtId="0" fontId="10" fillId="0" borderId="0" xfId="6" applyFont="1" applyFill="1" applyBorder="1" applyAlignment="1" applyProtection="1"/>
    <xf numFmtId="0" fontId="1" fillId="0" borderId="0" xfId="0" applyFont="1" applyFill="1" applyBorder="1" applyAlignment="1"/>
    <xf numFmtId="58" fontId="1" fillId="0" borderId="0" xfId="0" applyNumberFormat="1" applyFont="1" applyFill="1" applyBorder="1" applyAlignment="1">
      <alignment horizontal="right" vertical="center"/>
    </xf>
    <xf numFmtId="0" fontId="2" fillId="0" borderId="0" xfId="0" applyFont="1" applyBorder="1"/>
    <xf numFmtId="0" fontId="0" fillId="0" borderId="0" xfId="0" applyBorder="1"/>
    <xf numFmtId="0" fontId="11" fillId="0" borderId="0" xfId="0" applyFont="1" applyBorder="1" applyAlignment="1">
      <alignment horizontal="right"/>
    </xf>
    <xf numFmtId="58" fontId="0" fillId="0" borderId="0" xfId="0" applyNumberFormat="1" applyBorder="1" applyAlignment="1">
      <alignment horizontal="left"/>
    </xf>
    <xf numFmtId="0" fontId="12" fillId="0" borderId="0" xfId="0" applyFont="1" applyBorder="1"/>
    <xf numFmtId="0" fontId="13" fillId="0" borderId="0" xfId="0" applyFont="1" applyBorder="1"/>
    <xf numFmtId="0" fontId="14" fillId="0" borderId="0" xfId="0" applyFont="1" applyBorder="1"/>
    <xf numFmtId="0" fontId="15" fillId="0" borderId="0" xfId="0" applyFont="1" applyBorder="1" applyAlignment="1">
      <alignment horizontal="center"/>
    </xf>
    <xf numFmtId="181" fontId="15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0" fontId="12" fillId="0" borderId="0" xfId="0" applyFont="1" applyAlignment="1"/>
    <xf numFmtId="0" fontId="16" fillId="0" borderId="0" xfId="0" applyFont="1" applyAlignment="1"/>
    <xf numFmtId="0" fontId="17" fillId="0" borderId="0" xfId="0" applyFont="1" applyAlignment="1"/>
    <xf numFmtId="0" fontId="0" fillId="0" borderId="0" xfId="0" applyFont="1" applyAlignment="1"/>
    <xf numFmtId="0" fontId="11" fillId="0" borderId="0" xfId="0" applyFont="1" applyAlignment="1">
      <alignment horizontal="center"/>
    </xf>
    <xf numFmtId="0" fontId="2" fillId="0" borderId="0" xfId="0" applyFont="1" applyAlignment="1"/>
    <xf numFmtId="0" fontId="1" fillId="0" borderId="0" xfId="0" applyFont="1" applyAlignment="1">
      <alignment horizontal="center"/>
    </xf>
    <xf numFmtId="176" fontId="1" fillId="0" borderId="0" xfId="1" applyFont="1" applyAlignment="1"/>
    <xf numFmtId="0" fontId="18" fillId="0" borderId="0" xfId="0" applyFont="1" applyAlignment="1"/>
    <xf numFmtId="0" fontId="19" fillId="0" borderId="0" xfId="0" applyFont="1" applyAlignment="1"/>
    <xf numFmtId="0" fontId="20" fillId="0" borderId="0" xfId="0" applyFont="1" applyAlignment="1"/>
    <xf numFmtId="0" fontId="21" fillId="0" borderId="0" xfId="0" applyFont="1" applyAlignment="1"/>
    <xf numFmtId="0" fontId="7" fillId="0" borderId="0" xfId="0" applyFont="1" applyAlignment="1">
      <alignment horizontal="center"/>
    </xf>
    <xf numFmtId="0" fontId="22" fillId="0" borderId="0" xfId="0" applyFont="1" applyFill="1" applyBorder="1" applyAlignment="1"/>
    <xf numFmtId="0" fontId="23" fillId="0" borderId="0" xfId="0" applyFont="1" applyAlignment="1"/>
    <xf numFmtId="0" fontId="1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27" fillId="0" borderId="0" xfId="0" applyFont="1" applyBorder="1" applyAlignment="1"/>
    <xf numFmtId="0" fontId="27" fillId="0" borderId="4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9" fontId="13" fillId="2" borderId="6" xfId="0" applyNumberFormat="1" applyFont="1" applyFill="1" applyBorder="1" applyAlignment="1">
      <alignment horizontal="center"/>
    </xf>
    <xf numFmtId="0" fontId="29" fillId="0" borderId="0" xfId="0" applyFont="1" applyBorder="1" applyAlignment="1">
      <alignment horizontal="center"/>
    </xf>
    <xf numFmtId="0" fontId="18" fillId="0" borderId="9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1" fillId="0" borderId="0" xfId="0" applyFont="1" applyBorder="1"/>
    <xf numFmtId="0" fontId="30" fillId="0" borderId="0" xfId="0" applyFont="1"/>
    <xf numFmtId="0" fontId="20" fillId="0" borderId="12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1" fontId="17" fillId="0" borderId="13" xfId="0" applyNumberFormat="1" applyFont="1" applyBorder="1" applyAlignment="1">
      <alignment horizontal="center" vertical="center"/>
    </xf>
    <xf numFmtId="182" fontId="26" fillId="0" borderId="14" xfId="0" applyNumberFormat="1" applyFont="1" applyBorder="1" applyAlignment="1">
      <alignment horizontal="center" vertical="center"/>
    </xf>
    <xf numFmtId="182" fontId="20" fillId="0" borderId="13" xfId="0" applyNumberFormat="1" applyFont="1" applyBorder="1" applyAlignment="1">
      <alignment horizontal="center" vertical="center"/>
    </xf>
    <xf numFmtId="182" fontId="20" fillId="0" borderId="15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2" fontId="20" fillId="0" borderId="12" xfId="0" applyNumberFormat="1" applyFont="1" applyBorder="1" applyAlignment="1">
      <alignment horizontal="center" vertical="center"/>
    </xf>
    <xf numFmtId="3" fontId="20" fillId="0" borderId="12" xfId="0" applyNumberFormat="1" applyFont="1" applyFill="1" applyBorder="1" applyAlignment="1">
      <alignment horizontal="center" vertical="center"/>
    </xf>
    <xf numFmtId="183" fontId="20" fillId="2" borderId="12" xfId="0" applyNumberFormat="1" applyFont="1" applyFill="1" applyBorder="1" applyAlignment="1">
      <alignment horizontal="center" vertical="center"/>
    </xf>
    <xf numFmtId="183" fontId="20" fillId="0" borderId="15" xfId="0" applyNumberFormat="1" applyFont="1" applyBorder="1" applyAlignment="1">
      <alignment horizontal="right" vertical="center"/>
    </xf>
    <xf numFmtId="0" fontId="18" fillId="0" borderId="0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2" fontId="20" fillId="0" borderId="19" xfId="0" applyNumberFormat="1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183" fontId="31" fillId="0" borderId="18" xfId="0" applyNumberFormat="1" applyFont="1" applyBorder="1" applyAlignment="1">
      <alignment horizontal="right" vertical="center"/>
    </xf>
    <xf numFmtId="0" fontId="33" fillId="0" borderId="0" xfId="0" applyFont="1" applyBorder="1" applyAlignment="1">
      <alignment horizontal="center"/>
    </xf>
    <xf numFmtId="1" fontId="9" fillId="0" borderId="0" xfId="0" applyNumberFormat="1" applyFont="1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center"/>
    </xf>
    <xf numFmtId="0" fontId="32" fillId="0" borderId="0" xfId="0" applyFont="1" applyAlignment="1">
      <alignment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20" fillId="0" borderId="6" xfId="0" applyFont="1" applyBorder="1" applyAlignment="1">
      <alignment horizontal="center"/>
    </xf>
    <xf numFmtId="183" fontId="13" fillId="0" borderId="8" xfId="0" applyNumberFormat="1" applyFont="1" applyBorder="1" applyAlignment="1">
      <alignment horizontal="center" vertical="center"/>
    </xf>
    <xf numFmtId="0" fontId="20" fillId="2" borderId="6" xfId="0" applyFont="1" applyFill="1" applyBorder="1" applyAlignment="1">
      <alignment horizontal="center"/>
    </xf>
    <xf numFmtId="1" fontId="13" fillId="0" borderId="16" xfId="0" applyNumberFormat="1" applyFont="1" applyBorder="1" applyAlignment="1">
      <alignment horizontal="left"/>
    </xf>
    <xf numFmtId="1" fontId="13" fillId="0" borderId="17" xfId="0" applyNumberFormat="1" applyFont="1" applyBorder="1" applyAlignment="1">
      <alignment horizontal="left"/>
    </xf>
    <xf numFmtId="1" fontId="13" fillId="0" borderId="18" xfId="0" applyNumberFormat="1" applyFont="1" applyBorder="1" applyAlignment="1">
      <alignment horizontal="left"/>
    </xf>
    <xf numFmtId="9" fontId="13" fillId="2" borderId="19" xfId="0" applyNumberFormat="1" applyFont="1" applyFill="1" applyBorder="1" applyAlignment="1">
      <alignment horizontal="center"/>
    </xf>
    <xf numFmtId="183" fontId="20" fillId="0" borderId="15" xfId="0" applyNumberFormat="1" applyFont="1" applyFill="1" applyBorder="1" applyAlignment="1">
      <alignment horizontal="right" vertical="center"/>
    </xf>
    <xf numFmtId="0" fontId="20" fillId="0" borderId="24" xfId="0" applyFont="1" applyBorder="1" applyAlignment="1">
      <alignment horizontal="left"/>
    </xf>
    <xf numFmtId="182" fontId="20" fillId="0" borderId="25" xfId="0" applyNumberFormat="1" applyFont="1" applyBorder="1" applyAlignment="1">
      <alignment horizontal="center"/>
    </xf>
    <xf numFmtId="182" fontId="20" fillId="0" borderId="15" xfId="0" applyNumberFormat="1" applyFont="1" applyBorder="1" applyAlignment="1">
      <alignment horizontal="center"/>
    </xf>
    <xf numFmtId="1" fontId="20" fillId="0" borderId="12" xfId="0" applyNumberFormat="1" applyFont="1" applyBorder="1" applyAlignment="1">
      <alignment horizontal="center"/>
    </xf>
    <xf numFmtId="3" fontId="20" fillId="0" borderId="12" xfId="0" applyNumberFormat="1" applyFont="1" applyFill="1" applyBorder="1" applyAlignment="1">
      <alignment horizontal="center"/>
    </xf>
    <xf numFmtId="182" fontId="20" fillId="0" borderId="12" xfId="0" applyNumberFormat="1" applyFont="1" applyBorder="1" applyAlignment="1">
      <alignment horizontal="center" vertical="center"/>
    </xf>
    <xf numFmtId="0" fontId="20" fillId="0" borderId="26" xfId="0" applyFont="1" applyBorder="1" applyAlignment="1">
      <alignment horizontal="left" wrapText="1"/>
    </xf>
    <xf numFmtId="0" fontId="0" fillId="0" borderId="27" xfId="0" applyBorder="1" applyAlignment="1"/>
    <xf numFmtId="0" fontId="0" fillId="0" borderId="28" xfId="0" applyBorder="1" applyAlignment="1"/>
    <xf numFmtId="9" fontId="13" fillId="0" borderId="19" xfId="0" applyNumberFormat="1" applyFont="1" applyFill="1" applyBorder="1" applyAlignment="1">
      <alignment horizontal="center"/>
    </xf>
    <xf numFmtId="183" fontId="20" fillId="0" borderId="18" xfId="0" applyNumberFormat="1" applyFont="1" applyFill="1" applyBorder="1" applyAlignment="1">
      <alignment horizontal="right" vertical="center"/>
    </xf>
    <xf numFmtId="0" fontId="20" fillId="0" borderId="29" xfId="0" applyFont="1" applyBorder="1" applyAlignment="1">
      <alignment horizontal="left"/>
    </xf>
    <xf numFmtId="182" fontId="20" fillId="0" borderId="30" xfId="0" applyNumberFormat="1" applyFont="1" applyBorder="1" applyAlignment="1">
      <alignment horizontal="center"/>
    </xf>
    <xf numFmtId="1" fontId="20" fillId="0" borderId="31" xfId="0" applyNumberFormat="1" applyFont="1" applyBorder="1" applyAlignment="1">
      <alignment horizontal="center"/>
    </xf>
    <xf numFmtId="3" fontId="20" fillId="0" borderId="31" xfId="0" applyNumberFormat="1" applyFont="1" applyFill="1" applyBorder="1" applyAlignment="1">
      <alignment horizontal="center"/>
    </xf>
    <xf numFmtId="183" fontId="20" fillId="0" borderId="31" xfId="0" applyNumberFormat="1" applyFont="1" applyFill="1" applyBorder="1" applyAlignment="1">
      <alignment horizontal="center" vertical="center"/>
    </xf>
    <xf numFmtId="183" fontId="20" fillId="0" borderId="32" xfId="0" applyNumberFormat="1" applyFont="1" applyFill="1" applyBorder="1" applyAlignment="1">
      <alignment horizontal="right" vertical="center"/>
    </xf>
    <xf numFmtId="0" fontId="13" fillId="0" borderId="16" xfId="0" applyFont="1" applyBorder="1"/>
    <xf numFmtId="0" fontId="20" fillId="0" borderId="17" xfId="0" applyFont="1" applyBorder="1"/>
    <xf numFmtId="0" fontId="13" fillId="0" borderId="17" xfId="0" applyFont="1" applyBorder="1" applyAlignment="1">
      <alignment horizontal="right" vertical="center"/>
    </xf>
    <xf numFmtId="0" fontId="20" fillId="0" borderId="17" xfId="0" applyFont="1" applyBorder="1" applyAlignment="1">
      <alignment horizontal="right" vertical="center"/>
    </xf>
    <xf numFmtId="183" fontId="13" fillId="0" borderId="18" xfId="0" applyNumberFormat="1" applyFont="1" applyBorder="1" applyAlignment="1">
      <alignment horizontal="right" vertical="center"/>
    </xf>
    <xf numFmtId="0" fontId="20" fillId="0" borderId="0" xfId="0" applyFont="1" applyBorder="1"/>
    <xf numFmtId="0" fontId="13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13" fillId="0" borderId="0" xfId="0" applyNumberFormat="1" applyFont="1" applyBorder="1" applyAlignment="1">
      <alignment horizontal="right" vertical="center"/>
    </xf>
    <xf numFmtId="0" fontId="20" fillId="0" borderId="0" xfId="0" applyFont="1"/>
    <xf numFmtId="0" fontId="13" fillId="0" borderId="2" xfId="0" applyFont="1" applyBorder="1" applyAlignment="1">
      <alignment horizontal="left" vertical="center"/>
    </xf>
    <xf numFmtId="0" fontId="20" fillId="0" borderId="33" xfId="0" applyFont="1" applyBorder="1"/>
    <xf numFmtId="0" fontId="20" fillId="0" borderId="33" xfId="0" applyFont="1" applyBorder="1" applyAlignment="1">
      <alignment horizontal="right" vertical="center"/>
    </xf>
    <xf numFmtId="183" fontId="13" fillId="0" borderId="3" xfId="0" applyNumberFormat="1" applyFont="1" applyBorder="1" applyAlignment="1">
      <alignment horizontal="right" vertical="center"/>
    </xf>
    <xf numFmtId="0" fontId="13" fillId="0" borderId="24" xfId="0" applyFont="1" applyBorder="1" applyAlignment="1">
      <alignment horizontal="left" vertical="center"/>
    </xf>
    <xf numFmtId="9" fontId="20" fillId="0" borderId="25" xfId="0" applyNumberFormat="1" applyFont="1" applyBorder="1" applyAlignment="1">
      <alignment horizontal="center" vertical="center"/>
    </xf>
    <xf numFmtId="10" fontId="20" fillId="0" borderId="25" xfId="0" applyNumberFormat="1" applyFont="1" applyBorder="1" applyAlignment="1">
      <alignment horizontal="left" vertical="center"/>
    </xf>
    <xf numFmtId="184" fontId="13" fillId="0" borderId="15" xfId="0" applyNumberFormat="1" applyFont="1" applyBorder="1" applyAlignment="1">
      <alignment horizontal="right" vertical="center"/>
    </xf>
    <xf numFmtId="0" fontId="20" fillId="0" borderId="0" xfId="0" applyFont="1" applyAlignment="1">
      <alignment vertical="center"/>
    </xf>
    <xf numFmtId="0" fontId="13" fillId="2" borderId="23" xfId="0" applyFont="1" applyFill="1" applyBorder="1" applyAlignment="1">
      <alignment horizontal="left" vertical="center"/>
    </xf>
    <xf numFmtId="0" fontId="13" fillId="2" borderId="11" xfId="0" applyFont="1" applyFill="1" applyBorder="1" applyAlignment="1">
      <alignment horizontal="right" vertical="center"/>
    </xf>
    <xf numFmtId="0" fontId="20" fillId="2" borderId="11" xfId="0" applyFont="1" applyFill="1" applyBorder="1"/>
    <xf numFmtId="183" fontId="13" fillId="2" borderId="8" xfId="0" applyNumberFormat="1" applyFont="1" applyFill="1" applyBorder="1" applyAlignment="1">
      <alignment horizontal="right" vertical="center"/>
    </xf>
    <xf numFmtId="0" fontId="13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right" vertical="center"/>
    </xf>
    <xf numFmtId="0" fontId="20" fillId="0" borderId="0" xfId="0" applyFont="1" applyFill="1" applyBorder="1"/>
    <xf numFmtId="183" fontId="13" fillId="0" borderId="0" xfId="0" applyNumberFormat="1" applyFont="1" applyFill="1" applyBorder="1" applyAlignment="1">
      <alignment horizontal="right" vertical="center"/>
    </xf>
    <xf numFmtId="0" fontId="34" fillId="0" borderId="0" xfId="0" applyFont="1" applyBorder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83" fontId="7" fillId="0" borderId="0" xfId="0" applyNumberFormat="1" applyFont="1" applyBorder="1" applyAlignment="1">
      <alignment horizontal="right" vertical="center"/>
    </xf>
    <xf numFmtId="0" fontId="7" fillId="0" borderId="0" xfId="0" applyFont="1"/>
    <xf numFmtId="0" fontId="12" fillId="0" borderId="0" xfId="0" applyFont="1" applyFill="1" applyBorder="1"/>
    <xf numFmtId="0" fontId="7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/>
    </xf>
    <xf numFmtId="0" fontId="35" fillId="3" borderId="0" xfId="0" applyFont="1" applyFill="1" applyBorder="1" applyAlignment="1">
      <alignment horizontal="left"/>
    </xf>
    <xf numFmtId="0" fontId="1" fillId="3" borderId="0" xfId="0" applyFont="1" applyFill="1" applyBorder="1"/>
    <xf numFmtId="0" fontId="0" fillId="3" borderId="0" xfId="0" applyFill="1" applyBorder="1"/>
    <xf numFmtId="0" fontId="1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3" fontId="30" fillId="3" borderId="0" xfId="0" applyNumberFormat="1" applyFont="1" applyFill="1" applyBorder="1" applyAlignment="1">
      <alignment horizontal="left"/>
    </xf>
    <xf numFmtId="3" fontId="1" fillId="0" borderId="0" xfId="0" applyNumberFormat="1" applyFont="1" applyFill="1" applyBorder="1" applyAlignment="1">
      <alignment horizontal="left"/>
    </xf>
    <xf numFmtId="3" fontId="10" fillId="3" borderId="0" xfId="6" applyNumberFormat="1" applyFill="1" applyBorder="1" applyAlignment="1" applyProtection="1">
      <alignment horizontal="left"/>
    </xf>
    <xf numFmtId="3" fontId="0" fillId="3" borderId="0" xfId="0" applyNumberFormat="1" applyFill="1" applyBorder="1" applyAlignment="1">
      <alignment horizontal="left"/>
    </xf>
    <xf numFmtId="3" fontId="30" fillId="3" borderId="0" xfId="0" applyNumberFormat="1" applyFont="1" applyFill="1" applyBorder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Čárka 2" xfId="49"/>
  </cellStyles>
  <tableStyles count="0" defaultTableStyle="TableStyleMedium9" defaultPivotStyle="PivotStyleLight16"/>
  <colors>
    <mruColors>
      <color rgb="00005F8E"/>
      <color rgb="00FF0000"/>
      <color rgb="003366FF"/>
      <color rgb="000000FF"/>
      <color rgb="0030A9C6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4.png"/><Relationship Id="rId6" Type="http://schemas.openxmlformats.org/officeDocument/2006/relationships/hyperlink" Target="mailto:jarkovsky@shadeinstall.cz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g.page/r/CS01vcFXY0BzEBM/review" TargetMode="External"/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http://www.shadeinstall.cz/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12065</xdr:colOff>
      <xdr:row>6</xdr:row>
      <xdr:rowOff>0</xdr:rowOff>
    </xdr:to>
    <xdr:pic>
      <xdr:nvPicPr>
        <xdr:cNvPr id="1611" name="Picture 348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6301740" cy="1210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318135</xdr:colOff>
      <xdr:row>56</xdr:row>
      <xdr:rowOff>76200</xdr:rowOff>
    </xdr:from>
    <xdr:to>
      <xdr:col>10</xdr:col>
      <xdr:colOff>1078230</xdr:colOff>
      <xdr:row>59</xdr:row>
      <xdr:rowOff>48260</xdr:rowOff>
    </xdr:to>
    <xdr:pic>
      <xdr:nvPicPr>
        <xdr:cNvPr id="1612" name="Obrázek 3" descr="Somfy-Expert logo.jp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79085" y="11657330"/>
          <a:ext cx="760095" cy="543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196215</xdr:colOff>
      <xdr:row>53</xdr:row>
      <xdr:rowOff>152400</xdr:rowOff>
    </xdr:from>
    <xdr:to>
      <xdr:col>4</xdr:col>
      <xdr:colOff>448945</xdr:colOff>
      <xdr:row>56</xdr:row>
      <xdr:rowOff>38100</xdr:rowOff>
    </xdr:to>
    <xdr:pic>
      <xdr:nvPicPr>
        <xdr:cNvPr id="1613" name="Obrázek 2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79755" y="10733405"/>
          <a:ext cx="1656715" cy="885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8255</xdr:colOff>
      <xdr:row>61</xdr:row>
      <xdr:rowOff>180975</xdr:rowOff>
    </xdr:from>
    <xdr:to>
      <xdr:col>10</xdr:col>
      <xdr:colOff>1176020</xdr:colOff>
      <xdr:row>65</xdr:row>
      <xdr:rowOff>19050</xdr:rowOff>
    </xdr:to>
    <xdr:pic>
      <xdr:nvPicPr>
        <xdr:cNvPr id="1614" name="Picture 252">
          <a:hlinkClick xmlns:r="http://schemas.openxmlformats.org/officeDocument/2006/relationships" r:id="rId6"/>
        </xdr:cNvPr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255" y="12748260"/>
          <a:ext cx="6228715" cy="581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340"/>
  <sheetViews>
    <sheetView showGridLines="0" tabSelected="1" zoomScaleSheetLayoutView="60" workbookViewId="0">
      <selection activeCell="K14" sqref="K14"/>
    </sheetView>
  </sheetViews>
  <sheetFormatPr defaultColWidth="10" defaultRowHeight="12.75"/>
  <cols>
    <col min="1" max="1" width="6.71111111111111" style="4" customWidth="1"/>
    <col min="2" max="2" width="7" style="4" customWidth="1"/>
    <col min="3" max="3" width="8.42222222222222" style="4" customWidth="1"/>
    <col min="4" max="4" width="9.14444444444444" style="4" customWidth="1"/>
    <col min="5" max="5" width="8.56666666666667" style="4" customWidth="1"/>
    <col min="6" max="6" width="8.85555555555556" style="4" customWidth="1"/>
    <col min="7" max="7" width="8.42222222222222" style="4" customWidth="1"/>
    <col min="8" max="8" width="9" style="4" customWidth="1"/>
    <col min="9" max="9" width="11.2888888888889" style="4" customWidth="1"/>
    <col min="10" max="10" width="11.1444444444444" style="4" customWidth="1"/>
    <col min="11" max="11" width="21.5" style="5" customWidth="1"/>
    <col min="12" max="12" width="8" style="4" customWidth="1"/>
    <col min="13" max="13" width="8.71111111111111" style="4" customWidth="1"/>
    <col min="14" max="14" width="8.28888888888889" style="4" hidden="1" customWidth="1"/>
    <col min="15" max="16" width="10" style="4" hidden="1" customWidth="1"/>
    <col min="17" max="17" width="11.2888888888889" style="4" hidden="1" customWidth="1"/>
    <col min="18" max="18" width="10" style="4" hidden="1" customWidth="1"/>
    <col min="19" max="19" width="10" style="4" customWidth="1"/>
    <col min="20" max="20" width="14.1444444444444" style="4"/>
    <col min="21" max="16384" width="10" style="4"/>
  </cols>
  <sheetData>
    <row r="1" ht="11.25" customHeight="1" spans="1:12">
      <c r="A1" s="6"/>
      <c r="K1" s="7"/>
    </row>
    <row r="2" ht="16.15" customHeight="1" spans="1:12">
      <c r="J2" s="8"/>
      <c r="K2" s="9"/>
    </row>
    <row r="3" ht="27.4" customHeight="1" spans="1:12">
      <c r="A3" s="10"/>
      <c r="B3" s="10"/>
      <c r="C3" s="10"/>
      <c r="D3" s="10"/>
      <c r="E3" s="10"/>
      <c r="F3" s="10"/>
      <c r="G3" s="10"/>
      <c r="H3" s="10"/>
      <c r="I3" s="10"/>
      <c r="J3" s="11"/>
      <c r="K3" s="12"/>
    </row>
    <row r="4" ht="6.75" customHeight="1" spans="1:12">
      <c r="A4" s="13"/>
      <c r="B4" s="13"/>
      <c r="C4" s="13"/>
      <c r="D4" s="13"/>
      <c r="E4" s="13"/>
      <c r="F4" s="14"/>
      <c r="G4" s="15"/>
      <c r="H4" s="14"/>
      <c r="I4" s="14"/>
      <c r="J4" s="13"/>
      <c r="K4" s="16"/>
    </row>
    <row r="5" ht="20.25" customHeight="1" spans="1:12">
      <c r="A5" s="17"/>
      <c r="B5" s="18"/>
      <c r="C5" s="19"/>
      <c r="D5" s="10"/>
      <c r="E5" s="20"/>
      <c r="F5" s="21"/>
      <c r="G5" s="21"/>
      <c r="H5" s="21"/>
      <c r="I5" s="21"/>
      <c r="J5" s="18"/>
      <c r="K5" s="22"/>
    </row>
    <row r="6" ht="13.5" customHeight="1" spans="1:12">
      <c r="A6" s="17"/>
      <c r="B6" s="18"/>
      <c r="C6" s="23"/>
      <c r="D6" s="24"/>
      <c r="E6" s="25"/>
      <c r="F6" s="26"/>
      <c r="G6" s="21"/>
      <c r="H6" s="21"/>
      <c r="I6" s="21"/>
      <c r="J6" s="18"/>
      <c r="K6" s="27"/>
    </row>
    <row r="7" customFormat="1" ht="3" hidden="1" customHeight="1" spans="1:12">
      <c r="A7" s="28"/>
      <c r="B7" s="28"/>
      <c r="C7" s="29"/>
      <c r="D7" s="29"/>
      <c r="E7" s="29"/>
      <c r="F7" s="29"/>
      <c r="G7" s="29"/>
      <c r="H7" s="30"/>
      <c r="I7" s="31"/>
      <c r="J7" s="29"/>
      <c r="K7" s="29"/>
    </row>
    <row r="8" customFormat="1" ht="7.5" customHeight="1" spans="1:12">
      <c r="A8" s="28"/>
      <c r="B8" s="28"/>
      <c r="C8" s="29"/>
      <c r="D8" s="29"/>
      <c r="E8" s="29"/>
      <c r="F8" s="29"/>
      <c r="G8" s="29"/>
      <c r="H8" s="30"/>
      <c r="I8" s="31"/>
      <c r="J8" s="29"/>
      <c r="K8" s="29"/>
    </row>
    <row r="9" customFormat="1" ht="19.9" customHeight="1" spans="1:12">
      <c r="A9" s="28"/>
      <c r="B9" s="32" t="s">
        <v>0</v>
      </c>
      <c r="C9" s="29"/>
      <c r="D9" s="29"/>
      <c r="E9" s="33"/>
      <c r="F9" s="29"/>
      <c r="G9" s="29"/>
      <c r="H9" s="30"/>
      <c r="I9" s="34"/>
      <c r="J9" s="32" t="s">
        <v>1</v>
      </c>
      <c r="K9" s="35">
        <v>-26</v>
      </c>
    </row>
    <row r="10" customFormat="1" ht="19.9" customHeight="1" spans="1:12">
      <c r="A10" s="28"/>
      <c r="B10" s="32" t="s">
        <v>2</v>
      </c>
      <c r="C10" s="29"/>
      <c r="D10" s="29"/>
      <c r="E10" s="33"/>
      <c r="F10" s="29"/>
      <c r="G10" s="29"/>
      <c r="H10" s="30"/>
      <c r="I10" s="31"/>
      <c r="J10" s="32" t="s">
        <v>3</v>
      </c>
      <c r="K10" s="36">
        <f ca="1">TODAY()</f>
        <v>46325</v>
      </c>
    </row>
    <row r="11" customFormat="1" ht="19.9" customHeight="1" spans="1:12">
      <c r="A11" s="28"/>
      <c r="B11" s="32" t="s">
        <v>4</v>
      </c>
      <c r="C11" s="29"/>
      <c r="D11" s="29"/>
      <c r="E11" s="33" t="s">
        <v>5</v>
      </c>
      <c r="F11" s="29"/>
      <c r="G11" s="29"/>
      <c r="H11" s="30"/>
      <c r="I11" s="31"/>
      <c r="J11" s="29"/>
      <c r="K11" s="29"/>
    </row>
    <row r="12" s="1" customFormat="1" ht="19.9" customHeight="1" spans="1:12">
      <c r="A12" s="37"/>
      <c r="B12" s="38" t="s">
        <v>6</v>
      </c>
      <c r="D12" s="39"/>
      <c r="E12" s="40" t="s">
        <v>7</v>
      </c>
      <c r="F12" s="41"/>
      <c r="G12" s="42"/>
      <c r="H12" s="41"/>
      <c r="I12" s="41"/>
      <c r="J12" s="43"/>
      <c r="K12" s="44"/>
      <c r="L12" s="45"/>
    </row>
    <row r="13" s="1" customFormat="1" ht="19.9" customHeight="1" spans="1:12">
      <c r="A13" s="37"/>
      <c r="B13" s="38"/>
      <c r="D13" s="39"/>
      <c r="E13" s="40" t="s">
        <v>8</v>
      </c>
      <c r="F13" s="41"/>
      <c r="G13" s="42"/>
      <c r="H13" s="41"/>
      <c r="I13" s="41"/>
      <c r="J13" s="43"/>
      <c r="K13" s="44"/>
      <c r="L13" s="45"/>
    </row>
    <row r="14" s="1" customFormat="1" ht="19.9" customHeight="1" spans="1:12">
      <c r="A14" s="37"/>
      <c r="B14" s="38"/>
      <c r="D14" s="39"/>
      <c r="E14" s="40" t="s">
        <v>9</v>
      </c>
      <c r="F14" s="41"/>
      <c r="G14" s="42"/>
      <c r="H14" s="41"/>
      <c r="I14" s="41"/>
      <c r="J14" s="43"/>
      <c r="K14" s="44"/>
      <c r="L14" s="45"/>
    </row>
    <row r="15" s="1" customFormat="1" ht="19.9" customHeight="1" spans="1:12">
      <c r="A15" s="37"/>
      <c r="B15" s="38"/>
      <c r="D15" s="39"/>
      <c r="E15" s="40" t="s">
        <v>10</v>
      </c>
      <c r="F15" s="41"/>
      <c r="G15" s="42"/>
      <c r="H15" s="41"/>
      <c r="I15" s="41"/>
      <c r="J15" s="43"/>
      <c r="K15" s="44"/>
      <c r="L15" s="45"/>
    </row>
    <row r="16" s="1" customFormat="1" ht="16.5" customHeight="1" spans="1:12">
      <c r="A16" s="37"/>
      <c r="D16" s="46"/>
      <c r="E16" s="40" t="s">
        <v>11</v>
      </c>
      <c r="F16" s="47"/>
      <c r="G16" s="43"/>
      <c r="H16" s="43"/>
      <c r="I16" s="43"/>
      <c r="J16" s="42"/>
    </row>
    <row r="17" s="1" customFormat="1" ht="16.5" customHeight="1" spans="1:20">
      <c r="A17" s="37"/>
      <c r="D17" s="46"/>
      <c r="E17" s="40" t="s">
        <v>12</v>
      </c>
      <c r="F17" s="47"/>
      <c r="G17" s="43"/>
      <c r="H17" s="43"/>
      <c r="I17" s="43"/>
      <c r="J17" s="42"/>
    </row>
    <row r="18" s="1" customFormat="1" ht="17" customHeight="1" spans="1:20">
      <c r="A18" s="37"/>
      <c r="D18" s="46"/>
      <c r="E18" s="40" t="s">
        <v>13</v>
      </c>
      <c r="F18" s="47"/>
      <c r="G18" s="43"/>
      <c r="H18" s="43"/>
      <c r="I18" s="43"/>
      <c r="J18" s="42"/>
    </row>
    <row r="19" s="1" customFormat="1" ht="1.9" customHeight="1" spans="1:20">
      <c r="A19" s="37"/>
      <c r="D19" s="46"/>
      <c r="E19" s="48"/>
      <c r="F19" s="49"/>
      <c r="J19" s="50"/>
    </row>
    <row r="20" s="1" customFormat="1" ht="16.5" customHeight="1" spans="1:20">
      <c r="A20" s="51" t="s">
        <v>14</v>
      </c>
      <c r="B20" s="52"/>
      <c r="D20" s="46"/>
      <c r="E20" s="48"/>
      <c r="F20" s="49"/>
      <c r="J20" s="50"/>
    </row>
    <row r="21" s="2" customFormat="1" ht="15" customHeight="1" spans="1:20">
      <c r="A21" s="53" t="s">
        <v>15</v>
      </c>
      <c r="B21" s="54" t="s">
        <v>16</v>
      </c>
      <c r="C21" s="55"/>
      <c r="D21" s="56"/>
      <c r="E21" s="57"/>
      <c r="F21" s="58"/>
      <c r="G21" s="53" t="s">
        <v>17</v>
      </c>
      <c r="H21" s="53" t="s">
        <v>18</v>
      </c>
      <c r="I21" s="53" t="s">
        <v>19</v>
      </c>
      <c r="J21" s="59" t="s">
        <v>20</v>
      </c>
      <c r="K21" s="53" t="s">
        <v>21</v>
      </c>
      <c r="M21" s="60"/>
      <c r="N21" s="61"/>
      <c r="O21" s="62"/>
      <c r="Q21" s="61"/>
      <c r="R21" s="62"/>
    </row>
    <row r="22" s="2" customFormat="1" ht="15" customHeight="1" spans="1:20">
      <c r="A22" s="63"/>
      <c r="B22" s="64" t="s">
        <v>22</v>
      </c>
      <c r="C22" s="65" t="s">
        <v>16</v>
      </c>
      <c r="D22" s="66" t="s">
        <v>23</v>
      </c>
      <c r="E22" s="67" t="s">
        <v>24</v>
      </c>
      <c r="F22" s="68" t="s">
        <v>25</v>
      </c>
      <c r="G22" s="63"/>
      <c r="H22" s="69"/>
      <c r="I22" s="63"/>
      <c r="J22" s="70">
        <v>0</v>
      </c>
      <c r="K22" s="63"/>
      <c r="L22" s="71" t="s">
        <v>26</v>
      </c>
      <c r="M22" s="71"/>
      <c r="N22" s="72" t="s">
        <v>27</v>
      </c>
      <c r="O22" s="73" t="s">
        <v>28</v>
      </c>
      <c r="Q22" s="74" t="s">
        <v>27</v>
      </c>
      <c r="R22" s="75" t="s">
        <v>28</v>
      </c>
      <c r="S22" s="76"/>
      <c r="T22" s="77"/>
    </row>
    <row r="23" s="2" customFormat="1" ht="15" customHeight="1" spans="1:20">
      <c r="A23" s="78">
        <v>1</v>
      </c>
      <c r="B23" s="79">
        <v>0</v>
      </c>
      <c r="C23" s="80">
        <f>B23*G23</f>
        <v>0</v>
      </c>
      <c r="D23" s="81"/>
      <c r="E23" s="82"/>
      <c r="F23" s="83"/>
      <c r="G23" s="84">
        <v>0</v>
      </c>
      <c r="H23" s="85">
        <f>(E23*F23*G23)*0.0001</f>
        <v>0</v>
      </c>
      <c r="I23" s="86"/>
      <c r="J23" s="87">
        <f>I23-I23*$J$22</f>
        <v>0</v>
      </c>
      <c r="K23" s="88">
        <f t="shared" ref="K23:K36" si="0">G23*J23</f>
        <v>0</v>
      </c>
      <c r="L23" s="71">
        <f>E23*G23/100</f>
        <v>0</v>
      </c>
      <c r="M23" s="71">
        <f>(F23*G23)/100*2</f>
        <v>0</v>
      </c>
      <c r="N23" s="89"/>
      <c r="O23" s="90"/>
      <c r="Q23" s="89"/>
      <c r="R23" s="90"/>
      <c r="S23" s="76"/>
      <c r="T23" s="77"/>
    </row>
    <row r="24" s="2" customFormat="1" ht="15" customHeight="1" spans="1:20">
      <c r="A24" s="78">
        <v>2</v>
      </c>
      <c r="B24" s="79">
        <v>0</v>
      </c>
      <c r="C24" s="80">
        <f t="shared" ref="C24:C36" si="1">B24*G24</f>
        <v>0</v>
      </c>
      <c r="D24" s="81"/>
      <c r="E24" s="82"/>
      <c r="F24" s="83"/>
      <c r="G24" s="84">
        <v>0</v>
      </c>
      <c r="H24" s="85">
        <f t="shared" ref="H24:H36" si="2">(E24*F24*G24)*0.0001</f>
        <v>0</v>
      </c>
      <c r="I24" s="86"/>
      <c r="J24" s="87">
        <f t="shared" ref="J24:J36" si="3">I24-I24*$J$22</f>
        <v>0</v>
      </c>
      <c r="K24" s="88">
        <f t="shared" si="0"/>
        <v>0</v>
      </c>
      <c r="L24" s="71">
        <f t="shared" ref="L24:L36" si="4">E24*G24/100</f>
        <v>0</v>
      </c>
      <c r="M24" s="71">
        <f t="shared" ref="M24:M36" si="5">(F24*G24)/100*2</f>
        <v>0</v>
      </c>
      <c r="N24" s="89"/>
      <c r="O24" s="90"/>
      <c r="Q24" s="89"/>
      <c r="R24" s="90"/>
      <c r="S24" s="76"/>
      <c r="T24" s="77"/>
    </row>
    <row r="25" s="2" customFormat="1" ht="15" customHeight="1" spans="1:20">
      <c r="A25" s="78">
        <v>3</v>
      </c>
      <c r="B25" s="79">
        <v>0</v>
      </c>
      <c r="C25" s="80">
        <f t="shared" si="1"/>
        <v>0</v>
      </c>
      <c r="D25" s="81"/>
      <c r="E25" s="82"/>
      <c r="F25" s="83"/>
      <c r="G25" s="84">
        <v>0</v>
      </c>
      <c r="H25" s="85">
        <f t="shared" si="2"/>
        <v>0</v>
      </c>
      <c r="I25" s="86"/>
      <c r="J25" s="87">
        <f t="shared" si="3"/>
        <v>0</v>
      </c>
      <c r="K25" s="88">
        <f t="shared" si="0"/>
        <v>0</v>
      </c>
      <c r="L25" s="71">
        <f t="shared" si="4"/>
        <v>0</v>
      </c>
      <c r="M25" s="71">
        <f t="shared" si="5"/>
        <v>0</v>
      </c>
      <c r="N25" s="89"/>
      <c r="O25" s="90"/>
      <c r="Q25" s="89"/>
      <c r="R25" s="90"/>
      <c r="S25" s="76"/>
      <c r="T25" s="77"/>
    </row>
    <row r="26" s="2" customFormat="1" ht="15" customHeight="1" spans="1:20">
      <c r="A26" s="78">
        <v>4</v>
      </c>
      <c r="B26" s="79">
        <v>0</v>
      </c>
      <c r="C26" s="80">
        <f t="shared" si="1"/>
        <v>0</v>
      </c>
      <c r="D26" s="81"/>
      <c r="E26" s="82"/>
      <c r="F26" s="83"/>
      <c r="G26" s="84">
        <v>0</v>
      </c>
      <c r="H26" s="85">
        <f t="shared" si="2"/>
        <v>0</v>
      </c>
      <c r="I26" s="86"/>
      <c r="J26" s="87">
        <f t="shared" si="3"/>
        <v>0</v>
      </c>
      <c r="K26" s="88">
        <f t="shared" si="0"/>
        <v>0</v>
      </c>
      <c r="L26" s="71">
        <f t="shared" si="4"/>
        <v>0</v>
      </c>
      <c r="M26" s="71">
        <f t="shared" si="5"/>
        <v>0</v>
      </c>
      <c r="N26" s="89"/>
      <c r="O26" s="90"/>
      <c r="Q26" s="89"/>
      <c r="R26" s="90"/>
      <c r="S26" s="76"/>
      <c r="T26" s="77"/>
    </row>
    <row r="27" s="2" customFormat="1" ht="15" customHeight="1" spans="1:20">
      <c r="A27" s="78">
        <v>5</v>
      </c>
      <c r="B27" s="79">
        <v>0</v>
      </c>
      <c r="C27" s="80">
        <f t="shared" si="1"/>
        <v>0</v>
      </c>
      <c r="D27" s="81"/>
      <c r="E27" s="82"/>
      <c r="F27" s="83"/>
      <c r="G27" s="84">
        <v>0</v>
      </c>
      <c r="H27" s="85">
        <f t="shared" si="2"/>
        <v>0</v>
      </c>
      <c r="I27" s="86"/>
      <c r="J27" s="87">
        <f t="shared" si="3"/>
        <v>0</v>
      </c>
      <c r="K27" s="88">
        <f t="shared" si="0"/>
        <v>0</v>
      </c>
      <c r="L27" s="71">
        <f t="shared" si="4"/>
        <v>0</v>
      </c>
      <c r="M27" s="71">
        <f t="shared" si="5"/>
        <v>0</v>
      </c>
      <c r="N27" s="89"/>
      <c r="O27" s="90"/>
      <c r="Q27" s="89"/>
      <c r="R27" s="90"/>
      <c r="S27" s="76"/>
      <c r="T27" s="77"/>
    </row>
    <row r="28" s="2" customFormat="1" ht="15" customHeight="1" spans="1:20">
      <c r="A28" s="78">
        <v>6</v>
      </c>
      <c r="B28" s="79">
        <v>0</v>
      </c>
      <c r="C28" s="80">
        <f t="shared" si="1"/>
        <v>0</v>
      </c>
      <c r="D28" s="81"/>
      <c r="E28" s="82"/>
      <c r="F28" s="83"/>
      <c r="G28" s="84">
        <v>0</v>
      </c>
      <c r="H28" s="85">
        <f t="shared" si="2"/>
        <v>0</v>
      </c>
      <c r="I28" s="86"/>
      <c r="J28" s="87">
        <f t="shared" si="3"/>
        <v>0</v>
      </c>
      <c r="K28" s="88">
        <f t="shared" si="0"/>
        <v>0</v>
      </c>
      <c r="L28" s="71">
        <f t="shared" si="4"/>
        <v>0</v>
      </c>
      <c r="M28" s="71">
        <f t="shared" si="5"/>
        <v>0</v>
      </c>
      <c r="N28" s="89"/>
      <c r="O28" s="90"/>
      <c r="Q28" s="89"/>
      <c r="R28" s="90"/>
      <c r="S28" s="76"/>
      <c r="T28" s="77"/>
    </row>
    <row r="29" s="2" customFormat="1" ht="15" customHeight="1" spans="1:20">
      <c r="A29" s="78">
        <v>7</v>
      </c>
      <c r="B29" s="79">
        <v>0</v>
      </c>
      <c r="C29" s="80">
        <f t="shared" si="1"/>
        <v>0</v>
      </c>
      <c r="D29" s="81"/>
      <c r="E29" s="82"/>
      <c r="F29" s="83"/>
      <c r="G29" s="84">
        <v>0</v>
      </c>
      <c r="H29" s="85">
        <f t="shared" si="2"/>
        <v>0</v>
      </c>
      <c r="I29" s="86"/>
      <c r="J29" s="87">
        <f t="shared" si="3"/>
        <v>0</v>
      </c>
      <c r="K29" s="88">
        <f t="shared" si="0"/>
        <v>0</v>
      </c>
      <c r="L29" s="71">
        <f t="shared" si="4"/>
        <v>0</v>
      </c>
      <c r="M29" s="71">
        <f t="shared" si="5"/>
        <v>0</v>
      </c>
      <c r="N29" s="89"/>
      <c r="O29" s="90"/>
      <c r="Q29" s="89"/>
      <c r="R29" s="90"/>
      <c r="S29" s="76"/>
      <c r="T29" s="77"/>
    </row>
    <row r="30" s="2" customFormat="1" ht="15" customHeight="1" spans="1:20">
      <c r="A30" s="78">
        <v>8</v>
      </c>
      <c r="B30" s="79">
        <v>0</v>
      </c>
      <c r="C30" s="80">
        <f t="shared" si="1"/>
        <v>0</v>
      </c>
      <c r="D30" s="81"/>
      <c r="E30" s="82"/>
      <c r="F30" s="83"/>
      <c r="G30" s="84">
        <v>0</v>
      </c>
      <c r="H30" s="85">
        <f t="shared" si="2"/>
        <v>0</v>
      </c>
      <c r="I30" s="86"/>
      <c r="J30" s="87">
        <f t="shared" si="3"/>
        <v>0</v>
      </c>
      <c r="K30" s="88">
        <f t="shared" si="0"/>
        <v>0</v>
      </c>
      <c r="L30" s="71">
        <f t="shared" si="4"/>
        <v>0</v>
      </c>
      <c r="M30" s="71">
        <f t="shared" si="5"/>
        <v>0</v>
      </c>
      <c r="N30" s="89"/>
      <c r="O30" s="90"/>
      <c r="Q30" s="89"/>
      <c r="R30" s="90"/>
      <c r="S30" s="76"/>
      <c r="T30" s="77"/>
    </row>
    <row r="31" s="2" customFormat="1" ht="15" customHeight="1" spans="1:20">
      <c r="A31" s="78">
        <v>9</v>
      </c>
      <c r="B31" s="79">
        <v>0</v>
      </c>
      <c r="C31" s="80">
        <f t="shared" si="1"/>
        <v>0</v>
      </c>
      <c r="D31" s="81"/>
      <c r="E31" s="82"/>
      <c r="F31" s="83"/>
      <c r="G31" s="84">
        <v>0</v>
      </c>
      <c r="H31" s="85">
        <f t="shared" si="2"/>
        <v>0</v>
      </c>
      <c r="I31" s="86"/>
      <c r="J31" s="87">
        <f t="shared" si="3"/>
        <v>0</v>
      </c>
      <c r="K31" s="88">
        <f t="shared" si="0"/>
        <v>0</v>
      </c>
      <c r="L31" s="71">
        <f t="shared" si="4"/>
        <v>0</v>
      </c>
      <c r="M31" s="71">
        <f t="shared" si="5"/>
        <v>0</v>
      </c>
      <c r="N31" s="89"/>
      <c r="O31" s="90"/>
      <c r="Q31" s="89"/>
      <c r="R31" s="90"/>
      <c r="S31" s="76"/>
      <c r="T31" s="77"/>
    </row>
    <row r="32" s="2" customFormat="1" ht="15" customHeight="1" spans="1:20">
      <c r="A32" s="78">
        <v>10</v>
      </c>
      <c r="B32" s="79">
        <v>0</v>
      </c>
      <c r="C32" s="80">
        <f t="shared" si="1"/>
        <v>0</v>
      </c>
      <c r="D32" s="81"/>
      <c r="E32" s="82"/>
      <c r="F32" s="83"/>
      <c r="G32" s="84">
        <v>0</v>
      </c>
      <c r="H32" s="85">
        <f t="shared" si="2"/>
        <v>0</v>
      </c>
      <c r="I32" s="86"/>
      <c r="J32" s="87">
        <f t="shared" si="3"/>
        <v>0</v>
      </c>
      <c r="K32" s="88">
        <f t="shared" si="0"/>
        <v>0</v>
      </c>
      <c r="L32" s="71">
        <f t="shared" si="4"/>
        <v>0</v>
      </c>
      <c r="M32" s="71">
        <f t="shared" si="5"/>
        <v>0</v>
      </c>
      <c r="N32" s="89"/>
      <c r="O32" s="90"/>
      <c r="Q32" s="89"/>
      <c r="R32" s="90"/>
      <c r="S32" s="76"/>
      <c r="T32" s="77"/>
    </row>
    <row r="33" s="2" customFormat="1" ht="15" customHeight="1" spans="1:20">
      <c r="A33" s="78">
        <v>11</v>
      </c>
      <c r="B33" s="79">
        <v>0</v>
      </c>
      <c r="C33" s="80">
        <f t="shared" si="1"/>
        <v>0</v>
      </c>
      <c r="D33" s="81"/>
      <c r="E33" s="82"/>
      <c r="F33" s="83"/>
      <c r="G33" s="84">
        <v>0</v>
      </c>
      <c r="H33" s="85">
        <f t="shared" si="2"/>
        <v>0</v>
      </c>
      <c r="I33" s="86"/>
      <c r="J33" s="87">
        <f t="shared" si="3"/>
        <v>0</v>
      </c>
      <c r="K33" s="88">
        <f t="shared" si="0"/>
        <v>0</v>
      </c>
      <c r="L33" s="71">
        <f t="shared" si="4"/>
        <v>0</v>
      </c>
      <c r="M33" s="71">
        <f t="shared" si="5"/>
        <v>0</v>
      </c>
      <c r="N33" s="89"/>
      <c r="O33" s="90"/>
      <c r="Q33" s="89"/>
      <c r="R33" s="90"/>
      <c r="S33" s="76"/>
      <c r="T33" s="77"/>
    </row>
    <row r="34" s="2" customFormat="1" ht="15" customHeight="1" spans="1:20">
      <c r="A34" s="78">
        <v>12</v>
      </c>
      <c r="B34" s="79">
        <v>0</v>
      </c>
      <c r="C34" s="80">
        <f t="shared" si="1"/>
        <v>0</v>
      </c>
      <c r="D34" s="81"/>
      <c r="E34" s="82"/>
      <c r="F34" s="83"/>
      <c r="G34" s="84">
        <v>0</v>
      </c>
      <c r="H34" s="85">
        <f t="shared" si="2"/>
        <v>0</v>
      </c>
      <c r="I34" s="86"/>
      <c r="J34" s="87">
        <f t="shared" si="3"/>
        <v>0</v>
      </c>
      <c r="K34" s="88">
        <f t="shared" si="0"/>
        <v>0</v>
      </c>
      <c r="L34" s="71">
        <f t="shared" si="4"/>
        <v>0</v>
      </c>
      <c r="M34" s="71">
        <f t="shared" si="5"/>
        <v>0</v>
      </c>
      <c r="N34" s="89"/>
      <c r="O34" s="90"/>
      <c r="Q34" s="89"/>
      <c r="R34" s="90"/>
      <c r="S34" s="76"/>
      <c r="T34" s="77"/>
    </row>
    <row r="35" s="2" customFormat="1" ht="15" customHeight="1" spans="1:20">
      <c r="A35" s="78">
        <v>13</v>
      </c>
      <c r="B35" s="79">
        <v>0</v>
      </c>
      <c r="C35" s="80">
        <f t="shared" si="1"/>
        <v>0</v>
      </c>
      <c r="D35" s="81"/>
      <c r="E35" s="82"/>
      <c r="F35" s="83"/>
      <c r="G35" s="84">
        <v>0</v>
      </c>
      <c r="H35" s="85">
        <f t="shared" si="2"/>
        <v>0</v>
      </c>
      <c r="I35" s="86"/>
      <c r="J35" s="87">
        <f t="shared" si="3"/>
        <v>0</v>
      </c>
      <c r="K35" s="88">
        <f t="shared" si="0"/>
        <v>0</v>
      </c>
      <c r="L35" s="71">
        <f t="shared" si="4"/>
        <v>0</v>
      </c>
      <c r="M35" s="71">
        <f t="shared" si="5"/>
        <v>0</v>
      </c>
      <c r="N35" s="89"/>
      <c r="O35" s="90"/>
      <c r="Q35" s="89"/>
      <c r="R35" s="90"/>
      <c r="S35" s="76"/>
      <c r="T35" s="77"/>
    </row>
    <row r="36" s="2" customFormat="1" ht="15" customHeight="1" spans="1:20">
      <c r="A36" s="78">
        <v>14</v>
      </c>
      <c r="B36" s="79">
        <v>0</v>
      </c>
      <c r="C36" s="80">
        <f t="shared" si="1"/>
        <v>0</v>
      </c>
      <c r="D36" s="81"/>
      <c r="E36" s="82"/>
      <c r="F36" s="83"/>
      <c r="G36" s="84">
        <v>0</v>
      </c>
      <c r="H36" s="85">
        <f t="shared" si="2"/>
        <v>0</v>
      </c>
      <c r="I36" s="86"/>
      <c r="J36" s="87">
        <f t="shared" si="3"/>
        <v>0</v>
      </c>
      <c r="K36" s="88">
        <f t="shared" si="0"/>
        <v>0</v>
      </c>
      <c r="L36" s="71">
        <f t="shared" si="4"/>
        <v>0</v>
      </c>
      <c r="M36" s="71">
        <f t="shared" si="5"/>
        <v>0</v>
      </c>
      <c r="N36" s="89"/>
      <c r="O36" s="90"/>
      <c r="Q36" s="89"/>
      <c r="R36" s="90"/>
      <c r="S36" s="76"/>
      <c r="T36" s="77"/>
    </row>
    <row r="37" s="3" customFormat="1" ht="21" customHeight="1" spans="1:20">
      <c r="A37" s="91"/>
      <c r="B37" s="92"/>
      <c r="C37" s="92"/>
      <c r="D37" s="93"/>
      <c r="E37" s="93" t="s">
        <v>29</v>
      </c>
      <c r="F37" s="94"/>
      <c r="G37" s="95">
        <f>SUM(G23:G36)</f>
        <v>0</v>
      </c>
      <c r="H37" s="96">
        <f>SUM(H23:H36)</f>
        <v>0</v>
      </c>
      <c r="I37" s="97" t="s">
        <v>30</v>
      </c>
      <c r="J37" s="98"/>
      <c r="K37" s="99">
        <f>SUM(K23:K36)</f>
        <v>0</v>
      </c>
      <c r="L37" s="100"/>
      <c r="O37" s="101" t="e">
        <f>SUM(#REF!)</f>
        <v>#REF!</v>
      </c>
      <c r="R37" s="101" t="e">
        <f>SUM(#REF!)</f>
        <v>#REF!</v>
      </c>
      <c r="T37"/>
    </row>
    <row r="38" s="2" customFormat="1" ht="16.15" customHeight="1" spans="1:20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3"/>
      <c r="T38" s="77"/>
    </row>
    <row r="39" s="3" customFormat="1" ht="21.75" customHeight="1" spans="1:20">
      <c r="A39" s="104"/>
      <c r="B39" s="97" t="s">
        <v>31</v>
      </c>
      <c r="C39" s="105"/>
      <c r="D39" s="105"/>
      <c r="E39" s="105"/>
      <c r="F39" s="105"/>
      <c r="G39" s="105"/>
      <c r="H39" s="105"/>
      <c r="I39" s="105"/>
      <c r="J39" s="105"/>
      <c r="K39" s="106"/>
      <c r="T39"/>
    </row>
    <row r="40" s="2" customFormat="1" ht="16.15" customHeight="1" spans="1:20">
      <c r="A40" s="102"/>
      <c r="B40" s="107"/>
      <c r="C40" s="108"/>
      <c r="D40" s="108"/>
      <c r="E40" s="108"/>
      <c r="F40" s="109"/>
      <c r="G40" s="110" t="s">
        <v>17</v>
      </c>
      <c r="H40" s="53" t="s">
        <v>32</v>
      </c>
      <c r="I40" s="111" t="s">
        <v>33</v>
      </c>
      <c r="J40" s="112" t="s">
        <v>20</v>
      </c>
      <c r="K40" s="113" t="s">
        <v>21</v>
      </c>
      <c r="T40" s="77"/>
    </row>
    <row r="41" s="2" customFormat="1" ht="15.75" spans="1:20">
      <c r="A41" s="102"/>
      <c r="B41" s="114"/>
      <c r="C41" s="115"/>
      <c r="D41" s="115"/>
      <c r="E41" s="115"/>
      <c r="F41" s="116"/>
      <c r="G41" s="117"/>
      <c r="H41" s="69"/>
      <c r="I41" s="118" t="s">
        <v>32</v>
      </c>
      <c r="J41" s="119"/>
      <c r="K41" s="63" t="s">
        <v>34</v>
      </c>
      <c r="T41"/>
    </row>
    <row r="42" s="2" customFormat="1" ht="16.15" customHeight="1" spans="1:20">
      <c r="A42" s="102"/>
      <c r="B42" s="120" t="s">
        <v>35</v>
      </c>
      <c r="C42" s="121"/>
      <c r="D42" s="121"/>
      <c r="E42" s="121"/>
      <c r="F42" s="121"/>
      <c r="G42" s="121"/>
      <c r="H42" s="121"/>
      <c r="I42" s="122"/>
      <c r="J42" s="123">
        <v>0</v>
      </c>
      <c r="K42" s="124"/>
      <c r="T42" s="77"/>
    </row>
    <row r="43" s="2" customFormat="1" ht="16.15" customHeight="1" spans="1:20">
      <c r="A43" s="102"/>
      <c r="B43" s="125" t="s">
        <v>36</v>
      </c>
      <c r="C43" s="126"/>
      <c r="D43" s="126"/>
      <c r="E43" s="126"/>
      <c r="F43" s="127"/>
      <c r="G43" s="84">
        <f>SUM(C23:C36)</f>
        <v>0</v>
      </c>
      <c r="H43" s="128" t="s">
        <v>37</v>
      </c>
      <c r="I43" s="129">
        <v>190</v>
      </c>
      <c r="J43" s="87">
        <f>I43-I43*$J$42</f>
        <v>190</v>
      </c>
      <c r="K43" s="124">
        <f>G43*J43</f>
        <v>0</v>
      </c>
      <c r="T43"/>
    </row>
    <row r="44" s="2" customFormat="1" ht="16.15" customHeight="1" spans="1:20">
      <c r="A44" s="102"/>
      <c r="B44" s="125" t="s">
        <v>38</v>
      </c>
      <c r="C44" s="126"/>
      <c r="D44" s="126"/>
      <c r="E44" s="126"/>
      <c r="F44" s="127"/>
      <c r="G44" s="130">
        <f>SUM(L23:L36)</f>
        <v>0</v>
      </c>
      <c r="H44" s="128" t="s">
        <v>39</v>
      </c>
      <c r="I44" s="129">
        <v>1250</v>
      </c>
      <c r="J44" s="87">
        <f>I44-I44*$J$42</f>
        <v>1250</v>
      </c>
      <c r="K44" s="124">
        <f>G44*J44</f>
        <v>0</v>
      </c>
      <c r="T44"/>
    </row>
    <row r="45" s="2" customFormat="1" ht="16.15" customHeight="1" spans="1:20">
      <c r="A45" s="102"/>
      <c r="B45" s="125" t="s">
        <v>40</v>
      </c>
      <c r="C45" s="126"/>
      <c r="D45" s="126"/>
      <c r="E45" s="126"/>
      <c r="F45" s="127"/>
      <c r="G45" s="130">
        <f>SUM(L23:L36)</f>
        <v>0</v>
      </c>
      <c r="H45" s="128" t="s">
        <v>39</v>
      </c>
      <c r="I45" s="129">
        <v>280</v>
      </c>
      <c r="J45" s="87">
        <f>I45-I45*$J$42</f>
        <v>280</v>
      </c>
      <c r="K45" s="124">
        <f>G45*J45</f>
        <v>0</v>
      </c>
      <c r="T45"/>
    </row>
    <row r="46" s="2" customFormat="1" ht="16.15" customHeight="1" spans="1:20">
      <c r="A46" s="102"/>
      <c r="B46" s="125" t="s">
        <v>41</v>
      </c>
      <c r="C46" s="126"/>
      <c r="D46" s="126"/>
      <c r="E46" s="126"/>
      <c r="F46" s="127"/>
      <c r="G46" s="130">
        <f>SUM(M23:M36)</f>
        <v>0</v>
      </c>
      <c r="H46" s="128" t="s">
        <v>39</v>
      </c>
      <c r="I46" s="129">
        <v>150</v>
      </c>
      <c r="J46" s="87">
        <f>I46-I46*$J$42</f>
        <v>150</v>
      </c>
      <c r="K46" s="124">
        <f>G46*J46</f>
        <v>0</v>
      </c>
      <c r="T46"/>
    </row>
    <row r="47" s="2" customFormat="1" ht="16.15" customHeight="1" spans="1:20">
      <c r="A47" s="102"/>
      <c r="B47" s="131" t="s">
        <v>42</v>
      </c>
      <c r="C47" s="132"/>
      <c r="D47" s="132"/>
      <c r="E47" s="132"/>
      <c r="F47" s="133"/>
      <c r="G47" s="84">
        <f>G37</f>
        <v>0</v>
      </c>
      <c r="H47" s="128" t="s">
        <v>37</v>
      </c>
      <c r="I47" s="129">
        <v>6550</v>
      </c>
      <c r="J47" s="87">
        <f>I47-I47*$J$42</f>
        <v>6550</v>
      </c>
      <c r="K47" s="124">
        <f>G47*J47</f>
        <v>0</v>
      </c>
      <c r="T47"/>
    </row>
    <row r="48" s="2" customFormat="1" ht="16.15" customHeight="1" spans="1:20">
      <c r="A48" s="102"/>
      <c r="B48" s="120" t="s">
        <v>43</v>
      </c>
      <c r="C48" s="121"/>
      <c r="D48" s="121"/>
      <c r="E48" s="121"/>
      <c r="F48" s="121"/>
      <c r="G48" s="121"/>
      <c r="H48" s="121"/>
      <c r="I48" s="122"/>
      <c r="J48" s="134"/>
      <c r="K48" s="135"/>
    </row>
    <row r="49" s="2" customFormat="1" ht="16.15" customHeight="1" spans="1:12">
      <c r="A49" s="102"/>
      <c r="B49" s="136" t="s">
        <v>44</v>
      </c>
      <c r="C49" s="137"/>
      <c r="D49" s="137"/>
      <c r="E49" s="137"/>
      <c r="F49" s="137"/>
      <c r="G49" s="84">
        <v>1</v>
      </c>
      <c r="H49" s="138" t="s">
        <v>37</v>
      </c>
      <c r="I49" s="139">
        <v>0</v>
      </c>
      <c r="J49" s="140">
        <f>I49</f>
        <v>0</v>
      </c>
      <c r="K49" s="141">
        <f>G49*J49</f>
        <v>0</v>
      </c>
    </row>
    <row r="50" s="2" customFormat="1" ht="16.15" customHeight="1" spans="1:12">
      <c r="A50" s="102"/>
      <c r="B50" s="136" t="s">
        <v>45</v>
      </c>
      <c r="C50" s="137"/>
      <c r="D50" s="137"/>
      <c r="E50" s="137"/>
      <c r="F50" s="137"/>
      <c r="G50" s="84">
        <f>G37</f>
        <v>0</v>
      </c>
      <c r="H50" s="138" t="s">
        <v>37</v>
      </c>
      <c r="I50" s="139">
        <v>1400</v>
      </c>
      <c r="J50" s="140">
        <f>I50</f>
        <v>1400</v>
      </c>
      <c r="K50" s="141">
        <f>G50*J50</f>
        <v>0</v>
      </c>
    </row>
    <row r="51" s="2" customFormat="1" ht="21" customHeight="1" spans="1:12">
      <c r="A51" s="102"/>
      <c r="B51" s="142"/>
      <c r="C51" s="143"/>
      <c r="D51" s="143"/>
      <c r="E51" s="143"/>
      <c r="F51" s="143"/>
      <c r="G51" s="143"/>
      <c r="H51" s="143"/>
      <c r="I51" s="144" t="s">
        <v>46</v>
      </c>
      <c r="J51" s="145"/>
      <c r="K51" s="146">
        <f>SUM(K42:K50)</f>
        <v>0</v>
      </c>
    </row>
    <row r="52" s="2" customFormat="1" ht="4.5" customHeight="1" spans="1:12">
      <c r="A52" s="102"/>
      <c r="B52" s="33"/>
      <c r="C52" s="147"/>
      <c r="D52" s="147"/>
      <c r="E52" s="147"/>
      <c r="F52" s="147"/>
      <c r="G52" s="147"/>
      <c r="H52" s="147"/>
      <c r="I52" s="148"/>
      <c r="J52" s="149"/>
      <c r="K52" s="150"/>
    </row>
    <row r="53" s="2" customFormat="1" ht="21" customHeight="1" spans="1:12">
      <c r="A53" s="102"/>
      <c r="B53" s="151" t="s">
        <v>47</v>
      </c>
      <c r="C53" s="147"/>
      <c r="D53" s="147"/>
      <c r="E53" s="147"/>
      <c r="F53" s="147"/>
      <c r="G53" s="147"/>
      <c r="H53" s="152" t="s">
        <v>48</v>
      </c>
      <c r="I53" s="153"/>
      <c r="J53" s="154"/>
      <c r="K53" s="155">
        <f>K37+K51</f>
        <v>0</v>
      </c>
    </row>
    <row r="54" s="2" customFormat="1" ht="17.25" customHeight="1" spans="1:12">
      <c r="A54" s="102"/>
      <c r="B54" s="151"/>
      <c r="C54" s="147"/>
      <c r="D54" s="147"/>
      <c r="E54" s="147"/>
      <c r="F54" s="147"/>
      <c r="G54" s="147"/>
      <c r="H54" s="156" t="s">
        <v>49</v>
      </c>
      <c r="I54" s="157">
        <v>0.12</v>
      </c>
      <c r="J54" s="158"/>
      <c r="K54" s="159">
        <f>SUM(K53:K53)*I54</f>
        <v>0</v>
      </c>
    </row>
    <row r="55" s="2" customFormat="1" ht="30.75" customHeight="1" spans="1:12">
      <c r="A55" s="102"/>
      <c r="B55" s="160"/>
      <c r="C55" s="147"/>
      <c r="D55" s="147"/>
      <c r="E55" s="147"/>
      <c r="F55" s="147"/>
      <c r="G55" s="147"/>
      <c r="H55" s="161" t="s">
        <v>50</v>
      </c>
      <c r="I55" s="162"/>
      <c r="J55" s="163"/>
      <c r="K55" s="164">
        <f>SUM(K53:K54)</f>
        <v>0</v>
      </c>
    </row>
    <row r="56" s="2" customFormat="1" ht="30.75" customHeight="1" spans="1:12">
      <c r="A56" s="102"/>
      <c r="B56" s="160"/>
      <c r="C56" s="147"/>
      <c r="D56" s="147"/>
      <c r="E56" s="147"/>
      <c r="F56" s="147"/>
      <c r="G56" s="147"/>
      <c r="H56" s="165"/>
      <c r="I56" s="166"/>
      <c r="J56" s="167"/>
      <c r="K56" s="168"/>
    </row>
    <row r="57" s="2" customFormat="1" ht="13.5" customHeight="1" spans="1:12">
      <c r="A57" s="76"/>
      <c r="B57" s="169"/>
      <c r="C57" s="76"/>
      <c r="D57" s="76"/>
      <c r="E57" s="76"/>
      <c r="F57" s="76"/>
      <c r="G57" s="76"/>
      <c r="H57" s="76"/>
      <c r="I57" s="170"/>
      <c r="J57" s="171"/>
      <c r="K57" s="172"/>
    </row>
    <row r="58" s="2" customFormat="1" ht="15.75" spans="1:12">
      <c r="A58" s="173"/>
      <c r="B58" s="174" t="s">
        <v>51</v>
      </c>
      <c r="D58" s="48" t="s">
        <v>52</v>
      </c>
      <c r="E58" s="48" t="s">
        <v>53</v>
      </c>
      <c r="F58" s="76"/>
      <c r="G58" s="76"/>
      <c r="H58" s="76"/>
      <c r="I58" s="76"/>
      <c r="K58" s="175"/>
      <c r="L58" s="172"/>
    </row>
    <row r="59" s="2" customFormat="1" ht="15.75" spans="1:12">
      <c r="A59" s="173"/>
      <c r="B59" s="174" t="s">
        <v>54</v>
      </c>
      <c r="E59" s="48" t="s">
        <v>55</v>
      </c>
      <c r="F59" s="76"/>
      <c r="G59" s="76"/>
      <c r="H59" s="76"/>
      <c r="I59" s="170"/>
      <c r="J59" s="171"/>
      <c r="K59" s="172"/>
    </row>
    <row r="60" ht="16.15" customHeight="1" spans="1:12">
      <c r="A60" s="28"/>
      <c r="B60" s="174" t="s">
        <v>56</v>
      </c>
      <c r="C60" s="28"/>
      <c r="D60" s="28"/>
      <c r="E60" s="48" t="s">
        <v>57</v>
      </c>
      <c r="F60" s="28"/>
      <c r="G60" s="28"/>
      <c r="H60" s="28"/>
      <c r="I60" s="28"/>
      <c r="J60" s="28"/>
      <c r="K60" s="176"/>
    </row>
    <row r="61" s="2" customFormat="1" ht="16.5" customHeight="1" spans="1:12">
      <c r="A61" s="177"/>
      <c r="B61" s="177"/>
      <c r="C61" s="178"/>
      <c r="D61" s="178"/>
      <c r="E61" s="177"/>
      <c r="F61" s="178"/>
      <c r="G61" s="179"/>
      <c r="L61" s="180"/>
    </row>
    <row r="62" s="2" customFormat="1" ht="15" customHeight="1" spans="1:12">
      <c r="A62" s="181"/>
      <c r="B62" s="182"/>
      <c r="C62" s="178"/>
      <c r="D62" s="178"/>
      <c r="E62" s="182"/>
      <c r="F62" s="183"/>
      <c r="G62" s="183"/>
      <c r="L62" s="180"/>
    </row>
    <row r="63" s="2" customFormat="1" ht="15" customHeight="1" spans="1:12">
      <c r="A63" s="184"/>
      <c r="B63" s="182"/>
      <c r="C63" s="178"/>
      <c r="D63" s="178"/>
      <c r="E63" s="182"/>
      <c r="F63" s="185"/>
      <c r="G63" s="186"/>
      <c r="H63" s="178"/>
      <c r="K63" s="187"/>
      <c r="L63" s="180"/>
    </row>
    <row r="64" s="2" customFormat="1" ht="15.75" spans="1:12">
      <c r="K64" s="44"/>
    </row>
    <row r="65" spans="3:5">
      <c r="C65" s="28"/>
      <c r="D65" s="28"/>
      <c r="E65" s="28"/>
    </row>
    <row r="66" spans="3:5">
      <c r="C66" s="28"/>
      <c r="D66" s="28"/>
      <c r="E66" s="28"/>
    </row>
    <row r="67" spans="3:5">
      <c r="C67" s="28"/>
      <c r="D67" s="28"/>
      <c r="E67" s="28"/>
    </row>
    <row r="68" spans="3:5">
      <c r="C68" s="28"/>
      <c r="D68" s="28"/>
      <c r="E68" s="28"/>
    </row>
    <row r="69" spans="3:5">
      <c r="C69" s="28"/>
      <c r="D69" s="28"/>
      <c r="E69" s="28"/>
    </row>
    <row r="70" spans="3:5">
      <c r="C70" s="28"/>
      <c r="D70" s="28"/>
      <c r="E70" s="28"/>
    </row>
    <row r="71" spans="3:5">
      <c r="C71" s="28"/>
      <c r="D71" s="28"/>
      <c r="E71" s="28"/>
    </row>
    <row r="72" spans="3:5">
      <c r="C72" s="28"/>
      <c r="D72" s="28"/>
      <c r="E72" s="28"/>
    </row>
    <row r="73" spans="3:5">
      <c r="C73" s="28"/>
      <c r="D73" s="28"/>
      <c r="E73" s="28"/>
    </row>
    <row r="74" spans="3:5">
      <c r="C74" s="28"/>
      <c r="D74" s="28"/>
      <c r="E74" s="28"/>
    </row>
    <row r="75" spans="3:5">
      <c r="C75" s="28"/>
      <c r="D75" s="28"/>
      <c r="E75" s="28"/>
    </row>
    <row r="76" spans="3:5">
      <c r="C76" s="28"/>
      <c r="D76" s="28"/>
      <c r="E76" s="28"/>
    </row>
    <row r="77" spans="3:5">
      <c r="C77" s="28"/>
      <c r="D77" s="28"/>
      <c r="E77" s="28"/>
    </row>
    <row r="78" spans="3:5">
      <c r="C78" s="28"/>
      <c r="D78" s="28"/>
      <c r="E78" s="28"/>
    </row>
    <row r="79" spans="3:5">
      <c r="C79" s="28"/>
      <c r="D79" s="28"/>
      <c r="E79" s="28"/>
    </row>
    <row r="80" spans="3:5">
      <c r="C80" s="28"/>
      <c r="D80" s="28"/>
      <c r="E80" s="28"/>
    </row>
    <row r="81" spans="3:5">
      <c r="C81" s="28"/>
      <c r="D81" s="28"/>
      <c r="E81" s="28"/>
    </row>
    <row r="82" spans="3:5">
      <c r="C82" s="28"/>
      <c r="D82" s="28"/>
      <c r="E82" s="28"/>
    </row>
    <row r="83" spans="3:5">
      <c r="C83" s="28"/>
      <c r="D83" s="28"/>
      <c r="E83" s="28"/>
    </row>
    <row r="84" spans="3:5">
      <c r="C84" s="28"/>
      <c r="D84" s="28"/>
      <c r="E84" s="28"/>
    </row>
    <row r="85" spans="3:5">
      <c r="C85" s="28"/>
      <c r="D85" s="28"/>
      <c r="E85" s="28"/>
    </row>
    <row r="86" spans="3:5">
      <c r="C86" s="28"/>
      <c r="D86" s="28"/>
      <c r="E86" s="28"/>
    </row>
    <row r="87" spans="3:5">
      <c r="C87" s="28"/>
      <c r="D87" s="28"/>
      <c r="E87" s="28"/>
    </row>
    <row r="88" spans="3:5">
      <c r="C88" s="28"/>
      <c r="D88" s="28"/>
      <c r="E88" s="28"/>
    </row>
    <row r="89" spans="3:5">
      <c r="C89" s="28"/>
      <c r="D89" s="28"/>
      <c r="E89" s="28"/>
    </row>
    <row r="90" spans="3:5">
      <c r="C90" s="28"/>
      <c r="D90" s="28"/>
      <c r="E90" s="28"/>
    </row>
    <row r="91" spans="3:5">
      <c r="C91" s="28"/>
      <c r="D91" s="28"/>
      <c r="E91" s="28"/>
    </row>
    <row r="92" spans="3:5">
      <c r="C92" s="28"/>
      <c r="D92" s="28"/>
      <c r="E92" s="28"/>
    </row>
    <row r="93" spans="3:5">
      <c r="C93" s="28"/>
      <c r="D93" s="28"/>
      <c r="E93" s="28"/>
    </row>
    <row r="94" spans="3:5">
      <c r="C94" s="28"/>
      <c r="D94" s="28"/>
      <c r="E94" s="28"/>
    </row>
    <row r="95" spans="3:5">
      <c r="C95" s="28"/>
      <c r="D95" s="28"/>
      <c r="E95" s="28"/>
    </row>
    <row r="96" spans="3:5">
      <c r="C96" s="28"/>
      <c r="D96" s="28"/>
      <c r="E96" s="28"/>
    </row>
    <row r="97" spans="3:5">
      <c r="C97" s="28"/>
      <c r="D97" s="28"/>
      <c r="E97" s="28"/>
    </row>
    <row r="98" spans="3:5">
      <c r="C98" s="28"/>
      <c r="D98" s="28"/>
      <c r="E98" s="28"/>
    </row>
    <row r="99" spans="3:5">
      <c r="C99" s="28"/>
      <c r="D99" s="28"/>
      <c r="E99" s="28"/>
    </row>
    <row r="100" spans="3:5">
      <c r="C100" s="28"/>
      <c r="D100" s="28"/>
      <c r="E100" s="28"/>
    </row>
    <row r="101" spans="3:5">
      <c r="C101" s="28"/>
      <c r="D101" s="28"/>
      <c r="E101" s="28"/>
    </row>
    <row r="102" spans="3:5">
      <c r="C102" s="28"/>
      <c r="D102" s="28"/>
      <c r="E102" s="28"/>
    </row>
    <row r="103" spans="3:5">
      <c r="C103" s="28"/>
      <c r="D103" s="28"/>
      <c r="E103" s="28"/>
    </row>
    <row r="104" spans="3:5">
      <c r="C104" s="28"/>
      <c r="D104" s="28"/>
      <c r="E104" s="28"/>
    </row>
    <row r="105" spans="3:5">
      <c r="C105" s="28"/>
      <c r="D105" s="28"/>
      <c r="E105" s="28"/>
    </row>
    <row r="106" spans="3:5">
      <c r="C106" s="28"/>
      <c r="D106" s="28"/>
      <c r="E106" s="28"/>
    </row>
    <row r="107" spans="3:5">
      <c r="C107" s="28"/>
      <c r="D107" s="28"/>
      <c r="E107" s="28"/>
    </row>
    <row r="108" spans="3:5">
      <c r="C108" s="28"/>
      <c r="D108" s="28"/>
      <c r="E108" s="28"/>
    </row>
    <row r="109" spans="3:5">
      <c r="C109" s="28"/>
      <c r="D109" s="28"/>
      <c r="E109" s="28"/>
    </row>
    <row r="110" spans="3:5">
      <c r="C110" s="28"/>
      <c r="D110" s="28"/>
      <c r="E110" s="28"/>
    </row>
    <row r="111" spans="3:5">
      <c r="C111" s="28"/>
      <c r="D111" s="28"/>
      <c r="E111" s="28"/>
    </row>
    <row r="112" spans="3:5">
      <c r="C112" s="28"/>
      <c r="D112" s="28"/>
      <c r="E112" s="28"/>
    </row>
    <row r="113" spans="3:5">
      <c r="C113" s="28"/>
      <c r="D113" s="28"/>
      <c r="E113" s="28"/>
    </row>
    <row r="114" spans="3:5">
      <c r="C114" s="28"/>
      <c r="D114" s="28"/>
      <c r="E114" s="28"/>
    </row>
    <row r="115" spans="3:5">
      <c r="C115" s="28"/>
      <c r="D115" s="28"/>
      <c r="E115" s="28"/>
    </row>
    <row r="116" spans="3:5">
      <c r="C116" s="28"/>
      <c r="D116" s="28"/>
      <c r="E116" s="28"/>
    </row>
    <row r="117" spans="3:5">
      <c r="C117" s="28"/>
      <c r="D117" s="28"/>
      <c r="E117" s="28"/>
    </row>
    <row r="118" spans="3:5">
      <c r="C118" s="28"/>
      <c r="D118" s="28"/>
      <c r="E118" s="28"/>
    </row>
    <row r="119" spans="3:5">
      <c r="C119" s="28"/>
      <c r="D119" s="28"/>
      <c r="E119" s="28"/>
    </row>
    <row r="120" spans="3:5">
      <c r="C120" s="28"/>
      <c r="D120" s="28"/>
      <c r="E120" s="28"/>
    </row>
    <row r="121" spans="3:5">
      <c r="C121" s="28"/>
      <c r="D121" s="28"/>
      <c r="E121" s="28"/>
    </row>
    <row r="122" spans="3:5">
      <c r="C122" s="28"/>
      <c r="D122" s="28"/>
      <c r="E122" s="28"/>
    </row>
    <row r="123" spans="3:5">
      <c r="C123" s="28"/>
      <c r="D123" s="28"/>
      <c r="E123" s="28"/>
    </row>
    <row r="124" spans="3:5">
      <c r="C124" s="28"/>
      <c r="D124" s="28"/>
      <c r="E124" s="28"/>
    </row>
    <row r="125" spans="3:5">
      <c r="C125" s="28"/>
      <c r="D125" s="28"/>
      <c r="E125" s="28"/>
    </row>
    <row r="126" spans="3:5">
      <c r="C126" s="28"/>
      <c r="D126" s="28"/>
      <c r="E126" s="28"/>
    </row>
    <row r="127" spans="3:5">
      <c r="C127" s="28"/>
      <c r="D127" s="28"/>
      <c r="E127" s="28"/>
    </row>
    <row r="128" spans="3:5">
      <c r="C128" s="28"/>
      <c r="D128" s="28"/>
      <c r="E128" s="28"/>
    </row>
    <row r="129" spans="3:5">
      <c r="C129" s="28"/>
      <c r="D129" s="28"/>
      <c r="E129" s="28"/>
    </row>
    <row r="130" spans="3:5">
      <c r="C130" s="28"/>
      <c r="D130" s="28"/>
      <c r="E130" s="28"/>
    </row>
    <row r="131" spans="3:5">
      <c r="C131" s="28"/>
      <c r="D131" s="28"/>
      <c r="E131" s="28"/>
    </row>
    <row r="132" spans="3:5">
      <c r="C132" s="28"/>
      <c r="D132" s="28"/>
      <c r="E132" s="28"/>
    </row>
    <row r="133" spans="3:5">
      <c r="C133" s="28"/>
      <c r="D133" s="28"/>
      <c r="E133" s="28"/>
    </row>
    <row r="134" spans="3:5">
      <c r="C134" s="28"/>
      <c r="D134" s="28"/>
      <c r="E134" s="28"/>
    </row>
    <row r="135" spans="3:5">
      <c r="C135" s="28"/>
      <c r="D135" s="28"/>
      <c r="E135" s="28"/>
    </row>
    <row r="136" spans="3:5">
      <c r="C136" s="28"/>
      <c r="D136" s="28"/>
      <c r="E136" s="28"/>
    </row>
    <row r="137" spans="3:5">
      <c r="C137" s="28"/>
      <c r="D137" s="28"/>
      <c r="E137" s="28"/>
    </row>
    <row r="138" spans="3:5">
      <c r="C138" s="28"/>
      <c r="D138" s="28"/>
      <c r="E138" s="28"/>
    </row>
    <row r="139" spans="3:5">
      <c r="C139" s="28"/>
      <c r="D139" s="28"/>
      <c r="E139" s="28"/>
    </row>
    <row r="140" spans="3:5">
      <c r="C140" s="28"/>
      <c r="D140" s="28"/>
      <c r="E140" s="28"/>
    </row>
    <row r="141" spans="3:5">
      <c r="C141" s="28"/>
      <c r="D141" s="28"/>
      <c r="E141" s="28"/>
    </row>
    <row r="142" spans="3:5">
      <c r="C142" s="28"/>
      <c r="D142" s="28"/>
      <c r="E142" s="28"/>
    </row>
    <row r="143" spans="3:5">
      <c r="C143" s="28"/>
      <c r="D143" s="28"/>
      <c r="E143" s="28"/>
    </row>
    <row r="144" spans="3:5">
      <c r="C144" s="28"/>
      <c r="D144" s="28"/>
      <c r="E144" s="28"/>
    </row>
    <row r="145" spans="3:5">
      <c r="C145" s="28"/>
      <c r="D145" s="28"/>
      <c r="E145" s="28"/>
    </row>
    <row r="146" spans="3:5">
      <c r="C146" s="28"/>
      <c r="D146" s="28"/>
      <c r="E146" s="28"/>
    </row>
    <row r="147" spans="3:5">
      <c r="C147" s="28"/>
      <c r="D147" s="28"/>
      <c r="E147" s="28"/>
    </row>
    <row r="148" spans="3:5">
      <c r="C148" s="28"/>
      <c r="D148" s="28"/>
      <c r="E148" s="28"/>
    </row>
    <row r="149" spans="3:5">
      <c r="C149" s="28"/>
      <c r="D149" s="28"/>
      <c r="E149" s="28"/>
    </row>
    <row r="150" spans="3:5">
      <c r="C150" s="28"/>
      <c r="D150" s="28"/>
      <c r="E150" s="28"/>
    </row>
    <row r="151" spans="3:5">
      <c r="C151" s="28"/>
      <c r="D151" s="28"/>
      <c r="E151" s="28"/>
    </row>
    <row r="152" spans="3:5">
      <c r="C152" s="28"/>
      <c r="D152" s="28"/>
      <c r="E152" s="28"/>
    </row>
    <row r="153" spans="3:5">
      <c r="C153" s="28"/>
      <c r="D153" s="28"/>
      <c r="E153" s="28"/>
    </row>
    <row r="154" spans="3:5">
      <c r="C154" s="28"/>
      <c r="D154" s="28"/>
      <c r="E154" s="28"/>
    </row>
    <row r="155" spans="3:5">
      <c r="C155" s="28"/>
      <c r="D155" s="28"/>
      <c r="E155" s="28"/>
    </row>
    <row r="156" spans="3:5">
      <c r="C156" s="28"/>
      <c r="D156" s="28"/>
      <c r="E156" s="28"/>
    </row>
    <row r="157" spans="3:5">
      <c r="C157" s="28"/>
      <c r="D157" s="28"/>
      <c r="E157" s="28"/>
    </row>
    <row r="158" spans="3:5">
      <c r="C158" s="28"/>
      <c r="D158" s="28"/>
      <c r="E158" s="28"/>
    </row>
    <row r="159" spans="3:5">
      <c r="C159" s="28"/>
      <c r="D159" s="28"/>
      <c r="E159" s="28"/>
    </row>
    <row r="160" spans="3:5">
      <c r="C160" s="28"/>
      <c r="D160" s="28"/>
      <c r="E160" s="28"/>
    </row>
    <row r="161" spans="3:5">
      <c r="C161" s="28"/>
      <c r="D161" s="28"/>
      <c r="E161" s="28"/>
    </row>
    <row r="162" spans="3:5">
      <c r="C162" s="28"/>
      <c r="D162" s="28"/>
      <c r="E162" s="28"/>
    </row>
    <row r="163" spans="3:5">
      <c r="C163" s="28"/>
      <c r="D163" s="28"/>
      <c r="E163" s="28"/>
    </row>
    <row r="164" spans="3:5">
      <c r="C164" s="28"/>
      <c r="D164" s="28"/>
      <c r="E164" s="28"/>
    </row>
    <row r="165" spans="3:5">
      <c r="C165" s="28"/>
      <c r="D165" s="28"/>
      <c r="E165" s="28"/>
    </row>
    <row r="166" spans="3:5">
      <c r="C166" s="28"/>
      <c r="D166" s="28"/>
      <c r="E166" s="28"/>
    </row>
    <row r="167" spans="3:5">
      <c r="C167" s="28"/>
      <c r="D167" s="28"/>
      <c r="E167" s="28"/>
    </row>
    <row r="168" spans="3:5">
      <c r="C168" s="28"/>
      <c r="D168" s="28"/>
      <c r="E168" s="28"/>
    </row>
    <row r="169" spans="3:5">
      <c r="C169" s="28"/>
      <c r="D169" s="28"/>
      <c r="E169" s="28"/>
    </row>
    <row r="170" spans="3:5">
      <c r="C170" s="28"/>
      <c r="D170" s="28"/>
      <c r="E170" s="28"/>
    </row>
    <row r="171" spans="3:5">
      <c r="C171" s="28"/>
      <c r="D171" s="28"/>
      <c r="E171" s="28"/>
    </row>
    <row r="172" spans="3:5">
      <c r="C172" s="28"/>
      <c r="D172" s="28"/>
      <c r="E172" s="28"/>
    </row>
    <row r="173" spans="3:5">
      <c r="C173" s="28"/>
      <c r="D173" s="28"/>
      <c r="E173" s="28"/>
    </row>
    <row r="174" spans="3:5">
      <c r="C174" s="28"/>
      <c r="D174" s="28"/>
      <c r="E174" s="28"/>
    </row>
    <row r="175" spans="3:5">
      <c r="C175" s="28"/>
      <c r="D175" s="28"/>
      <c r="E175" s="28"/>
    </row>
    <row r="176" spans="3:5">
      <c r="C176" s="28"/>
      <c r="D176" s="28"/>
      <c r="E176" s="28"/>
    </row>
    <row r="177" spans="3:5">
      <c r="C177" s="28"/>
      <c r="D177" s="28"/>
      <c r="E177" s="28"/>
    </row>
    <row r="178" spans="3:5">
      <c r="C178" s="28"/>
      <c r="D178" s="28"/>
      <c r="E178" s="28"/>
    </row>
    <row r="179" spans="3:5">
      <c r="C179" s="28"/>
      <c r="D179" s="28"/>
      <c r="E179" s="28"/>
    </row>
    <row r="180" spans="3:5">
      <c r="C180" s="28"/>
      <c r="D180" s="28"/>
      <c r="E180" s="28"/>
    </row>
    <row r="181" spans="3:5">
      <c r="C181" s="28"/>
      <c r="D181" s="28"/>
      <c r="E181" s="28"/>
    </row>
    <row r="182" spans="3:5">
      <c r="C182" s="28"/>
      <c r="D182" s="28"/>
      <c r="E182" s="28"/>
    </row>
    <row r="183" spans="3:5">
      <c r="C183" s="28"/>
      <c r="D183" s="28"/>
      <c r="E183" s="28"/>
    </row>
    <row r="184" spans="3:5">
      <c r="C184" s="28"/>
      <c r="D184" s="28"/>
      <c r="E184" s="28"/>
    </row>
    <row r="185" spans="3:5">
      <c r="C185" s="28"/>
      <c r="D185" s="28"/>
      <c r="E185" s="28"/>
    </row>
    <row r="186" spans="3:5">
      <c r="C186" s="28"/>
      <c r="D186" s="28"/>
      <c r="E186" s="28"/>
    </row>
    <row r="187" spans="3:5">
      <c r="C187" s="28"/>
      <c r="D187" s="28"/>
      <c r="E187" s="28"/>
    </row>
    <row r="188" spans="3:5">
      <c r="C188" s="28"/>
      <c r="D188" s="28"/>
      <c r="E188" s="28"/>
    </row>
    <row r="189" spans="3:5">
      <c r="C189" s="28"/>
      <c r="D189" s="28"/>
      <c r="E189" s="28"/>
    </row>
    <row r="190" spans="3:5">
      <c r="C190" s="28"/>
      <c r="D190" s="28"/>
      <c r="E190" s="28"/>
    </row>
    <row r="191" spans="3:5">
      <c r="C191" s="28"/>
      <c r="D191" s="28"/>
      <c r="E191" s="28"/>
    </row>
    <row r="192" spans="3:5">
      <c r="C192" s="28"/>
      <c r="D192" s="28"/>
      <c r="E192" s="28"/>
    </row>
    <row r="193" spans="3:5">
      <c r="C193" s="28"/>
      <c r="D193" s="28"/>
      <c r="E193" s="28"/>
    </row>
    <row r="194" spans="3:5">
      <c r="C194" s="28"/>
      <c r="D194" s="28"/>
      <c r="E194" s="28"/>
    </row>
    <row r="195" spans="3:5">
      <c r="C195" s="28"/>
      <c r="D195" s="28"/>
      <c r="E195" s="28"/>
    </row>
    <row r="196" spans="3:5">
      <c r="C196" s="28"/>
      <c r="D196" s="28"/>
      <c r="E196" s="28"/>
    </row>
    <row r="197" spans="3:5">
      <c r="C197" s="28"/>
      <c r="D197" s="28"/>
      <c r="E197" s="28"/>
    </row>
    <row r="198" spans="3:5">
      <c r="C198" s="28"/>
      <c r="D198" s="28"/>
      <c r="E198" s="28"/>
    </row>
    <row r="199" spans="3:5">
      <c r="C199" s="28"/>
      <c r="D199" s="28"/>
      <c r="E199" s="28"/>
    </row>
    <row r="200" spans="3:5">
      <c r="C200" s="28"/>
      <c r="D200" s="28"/>
      <c r="E200" s="28"/>
    </row>
    <row r="201" spans="3:5">
      <c r="C201" s="28"/>
      <c r="D201" s="28"/>
      <c r="E201" s="28"/>
    </row>
    <row r="202" spans="3:5">
      <c r="C202" s="28"/>
      <c r="D202" s="28"/>
      <c r="E202" s="28"/>
    </row>
    <row r="203" spans="3:5">
      <c r="C203" s="28"/>
      <c r="D203" s="28"/>
      <c r="E203" s="28"/>
    </row>
    <row r="204" spans="3:5">
      <c r="C204" s="28"/>
      <c r="D204" s="28"/>
      <c r="E204" s="28"/>
    </row>
    <row r="205" spans="3:5">
      <c r="C205" s="28"/>
      <c r="D205" s="28"/>
      <c r="E205" s="28"/>
    </row>
    <row r="206" spans="3:5">
      <c r="C206" s="28"/>
      <c r="D206" s="28"/>
      <c r="E206" s="28"/>
    </row>
    <row r="207" spans="3:5">
      <c r="C207" s="28"/>
      <c r="D207" s="28"/>
      <c r="E207" s="28"/>
    </row>
    <row r="208" spans="3:5">
      <c r="C208" s="28"/>
      <c r="D208" s="28"/>
      <c r="E208" s="28"/>
    </row>
    <row r="209" spans="3:5">
      <c r="C209" s="28"/>
      <c r="D209" s="28"/>
      <c r="E209" s="28"/>
    </row>
    <row r="210" spans="3:5">
      <c r="C210" s="28"/>
      <c r="D210" s="28"/>
      <c r="E210" s="28"/>
    </row>
    <row r="211" spans="3:5">
      <c r="C211" s="28"/>
      <c r="D211" s="28"/>
      <c r="E211" s="28"/>
    </row>
    <row r="212" spans="3:5">
      <c r="C212" s="28"/>
      <c r="D212" s="28"/>
      <c r="E212" s="28"/>
    </row>
    <row r="213" spans="3:5">
      <c r="C213" s="28"/>
      <c r="D213" s="28"/>
      <c r="E213" s="28"/>
    </row>
    <row r="214" spans="3:5">
      <c r="C214" s="28"/>
      <c r="D214" s="28"/>
      <c r="E214" s="28"/>
    </row>
    <row r="215" spans="3:5">
      <c r="C215" s="28"/>
      <c r="D215" s="28"/>
      <c r="E215" s="28"/>
    </row>
    <row r="216" spans="3:5">
      <c r="C216" s="28"/>
      <c r="D216" s="28"/>
      <c r="E216" s="28"/>
    </row>
    <row r="217" spans="3:5">
      <c r="C217" s="28"/>
      <c r="D217" s="28"/>
      <c r="E217" s="28"/>
    </row>
    <row r="218" spans="3:5">
      <c r="C218" s="28"/>
      <c r="D218" s="28"/>
      <c r="E218" s="28"/>
    </row>
    <row r="219" spans="3:5">
      <c r="C219" s="28"/>
      <c r="D219" s="28"/>
      <c r="E219" s="28"/>
    </row>
    <row r="220" spans="3:5">
      <c r="C220" s="28"/>
      <c r="D220" s="28"/>
      <c r="E220" s="28"/>
    </row>
    <row r="221" spans="3:5">
      <c r="C221" s="28"/>
      <c r="D221" s="28"/>
      <c r="E221" s="28"/>
    </row>
    <row r="222" spans="3:5">
      <c r="C222" s="28"/>
      <c r="D222" s="28"/>
      <c r="E222" s="28"/>
    </row>
    <row r="223" spans="3:5">
      <c r="C223" s="28"/>
      <c r="D223" s="28"/>
      <c r="E223" s="28"/>
    </row>
    <row r="224" spans="3:5">
      <c r="C224" s="28"/>
      <c r="D224" s="28"/>
      <c r="E224" s="28"/>
    </row>
    <row r="225" spans="3:5">
      <c r="C225" s="28"/>
      <c r="D225" s="28"/>
      <c r="E225" s="28"/>
    </row>
    <row r="226" spans="3:5">
      <c r="C226" s="28"/>
      <c r="D226" s="28"/>
      <c r="E226" s="28"/>
    </row>
    <row r="227" spans="3:5">
      <c r="C227" s="28"/>
      <c r="D227" s="28"/>
      <c r="E227" s="28"/>
    </row>
    <row r="228" spans="3:5">
      <c r="C228" s="28"/>
      <c r="D228" s="28"/>
      <c r="E228" s="28"/>
    </row>
    <row r="229" spans="3:5">
      <c r="C229" s="28"/>
      <c r="D229" s="28"/>
      <c r="E229" s="28"/>
    </row>
    <row r="230" spans="3:5">
      <c r="C230" s="28"/>
      <c r="D230" s="28"/>
      <c r="E230" s="28"/>
    </row>
    <row r="231" spans="3:5">
      <c r="C231" s="28"/>
      <c r="D231" s="28"/>
      <c r="E231" s="28"/>
    </row>
    <row r="232" spans="3:5">
      <c r="C232" s="28"/>
      <c r="D232" s="28"/>
      <c r="E232" s="28"/>
    </row>
    <row r="233" spans="3:5">
      <c r="C233" s="28"/>
      <c r="D233" s="28"/>
      <c r="E233" s="28"/>
    </row>
    <row r="234" spans="3:5">
      <c r="C234" s="28"/>
      <c r="D234" s="28"/>
      <c r="E234" s="28"/>
    </row>
    <row r="235" spans="3:5">
      <c r="C235" s="28"/>
      <c r="D235" s="28"/>
      <c r="E235" s="28"/>
    </row>
    <row r="236" spans="3:5">
      <c r="C236" s="28"/>
      <c r="D236" s="28"/>
      <c r="E236" s="28"/>
    </row>
    <row r="237" spans="3:5">
      <c r="C237" s="28"/>
      <c r="D237" s="28"/>
      <c r="E237" s="28"/>
    </row>
    <row r="238" spans="3:5">
      <c r="C238" s="28"/>
      <c r="D238" s="28"/>
      <c r="E238" s="28"/>
    </row>
    <row r="239" spans="3:5">
      <c r="C239" s="28"/>
      <c r="D239" s="28"/>
      <c r="E239" s="28"/>
    </row>
    <row r="240" spans="3:5">
      <c r="C240" s="28"/>
      <c r="D240" s="28"/>
      <c r="E240" s="28"/>
    </row>
    <row r="241" spans="3:5">
      <c r="C241" s="28"/>
      <c r="D241" s="28"/>
      <c r="E241" s="28"/>
    </row>
    <row r="242" spans="3:5">
      <c r="C242" s="28"/>
      <c r="D242" s="28"/>
      <c r="E242" s="28"/>
    </row>
    <row r="243" spans="3:5">
      <c r="C243" s="28"/>
      <c r="D243" s="28"/>
      <c r="E243" s="28"/>
    </row>
    <row r="244" spans="3:5">
      <c r="C244" s="28"/>
      <c r="D244" s="28"/>
      <c r="E244" s="28"/>
    </row>
    <row r="245" spans="3:5">
      <c r="C245" s="28"/>
      <c r="D245" s="28"/>
      <c r="E245" s="28"/>
    </row>
    <row r="246" spans="3:5">
      <c r="C246" s="28"/>
      <c r="D246" s="28"/>
      <c r="E246" s="28"/>
    </row>
    <row r="247" spans="3:5">
      <c r="C247" s="28"/>
      <c r="D247" s="28"/>
      <c r="E247" s="28"/>
    </row>
    <row r="248" spans="3:5">
      <c r="C248" s="28"/>
      <c r="D248" s="28"/>
      <c r="E248" s="28"/>
    </row>
    <row r="249" spans="3:5">
      <c r="C249" s="28"/>
      <c r="D249" s="28"/>
      <c r="E249" s="28"/>
    </row>
    <row r="250" spans="3:5">
      <c r="C250" s="28"/>
      <c r="D250" s="28"/>
      <c r="E250" s="28"/>
    </row>
    <row r="251" spans="3:5">
      <c r="C251" s="28"/>
      <c r="D251" s="28"/>
      <c r="E251" s="28"/>
    </row>
    <row r="252" spans="3:5">
      <c r="C252" s="28"/>
      <c r="D252" s="28"/>
      <c r="E252" s="28"/>
    </row>
    <row r="253" spans="3:5">
      <c r="C253" s="28"/>
      <c r="D253" s="28"/>
      <c r="E253" s="28"/>
    </row>
    <row r="254" spans="3:5">
      <c r="C254" s="28"/>
      <c r="D254" s="28"/>
      <c r="E254" s="28"/>
    </row>
    <row r="255" spans="3:5">
      <c r="C255" s="28"/>
      <c r="D255" s="28"/>
      <c r="E255" s="28"/>
    </row>
    <row r="256" spans="3:5">
      <c r="C256" s="28"/>
      <c r="D256" s="28"/>
      <c r="E256" s="28"/>
    </row>
    <row r="257" spans="3:5">
      <c r="C257" s="28"/>
      <c r="D257" s="28"/>
      <c r="E257" s="28"/>
    </row>
    <row r="258" spans="3:5">
      <c r="C258" s="28"/>
      <c r="D258" s="28"/>
      <c r="E258" s="28"/>
    </row>
    <row r="259" spans="3:5">
      <c r="C259" s="28"/>
      <c r="D259" s="28"/>
      <c r="E259" s="28"/>
    </row>
    <row r="260" spans="3:5">
      <c r="C260" s="28"/>
      <c r="D260" s="28"/>
      <c r="E260" s="28"/>
    </row>
    <row r="261" spans="3:5">
      <c r="C261" s="28"/>
      <c r="D261" s="28"/>
      <c r="E261" s="28"/>
    </row>
    <row r="262" spans="3:5">
      <c r="C262" s="28"/>
      <c r="D262" s="28"/>
      <c r="E262" s="28"/>
    </row>
    <row r="263" spans="3:5">
      <c r="C263" s="28"/>
      <c r="D263" s="28"/>
      <c r="E263" s="28"/>
    </row>
    <row r="264" spans="3:5">
      <c r="C264" s="28"/>
      <c r="D264" s="28"/>
      <c r="E264" s="28"/>
    </row>
    <row r="265" spans="3:5">
      <c r="C265" s="28"/>
      <c r="D265" s="28"/>
      <c r="E265" s="28"/>
    </row>
    <row r="266" spans="3:5">
      <c r="C266" s="28"/>
      <c r="D266" s="28"/>
      <c r="E266" s="28"/>
    </row>
    <row r="267" spans="3:5">
      <c r="C267" s="28"/>
      <c r="D267" s="28"/>
      <c r="E267" s="28"/>
    </row>
    <row r="268" spans="3:5">
      <c r="C268" s="28"/>
      <c r="D268" s="28"/>
      <c r="E268" s="28"/>
    </row>
    <row r="269" spans="3:5">
      <c r="C269" s="28"/>
      <c r="D269" s="28"/>
      <c r="E269" s="28"/>
    </row>
    <row r="270" spans="3:5">
      <c r="C270" s="28"/>
      <c r="D270" s="28"/>
      <c r="E270" s="28"/>
    </row>
    <row r="271" spans="3:5">
      <c r="C271" s="28"/>
      <c r="D271" s="28"/>
      <c r="E271" s="28"/>
    </row>
    <row r="272" spans="3:5">
      <c r="C272" s="28"/>
      <c r="D272" s="28"/>
      <c r="E272" s="28"/>
    </row>
    <row r="273" spans="3:5">
      <c r="C273" s="28"/>
      <c r="D273" s="28"/>
      <c r="E273" s="28"/>
    </row>
    <row r="274" spans="3:5">
      <c r="C274" s="28"/>
      <c r="D274" s="28"/>
      <c r="E274" s="28"/>
    </row>
    <row r="275" spans="3:5">
      <c r="C275" s="28"/>
      <c r="D275" s="28"/>
      <c r="E275" s="28"/>
    </row>
    <row r="276" spans="3:5">
      <c r="C276" s="28"/>
      <c r="D276" s="28"/>
      <c r="E276" s="28"/>
    </row>
    <row r="277" spans="3:5">
      <c r="C277" s="28"/>
      <c r="D277" s="28"/>
      <c r="E277" s="28"/>
    </row>
    <row r="278" spans="3:5">
      <c r="C278" s="28"/>
      <c r="D278" s="28"/>
      <c r="E278" s="28"/>
    </row>
    <row r="279" spans="3:5">
      <c r="C279" s="28"/>
      <c r="D279" s="28"/>
      <c r="E279" s="28"/>
    </row>
    <row r="280" spans="3:5">
      <c r="C280" s="28"/>
      <c r="D280" s="28"/>
      <c r="E280" s="28"/>
    </row>
    <row r="281" spans="3:5">
      <c r="C281" s="28"/>
      <c r="D281" s="28"/>
      <c r="E281" s="28"/>
    </row>
    <row r="282" spans="3:5">
      <c r="C282" s="28"/>
      <c r="D282" s="28"/>
      <c r="E282" s="28"/>
    </row>
    <row r="283" spans="3:5">
      <c r="C283" s="28"/>
      <c r="D283" s="28"/>
      <c r="E283" s="28"/>
    </row>
    <row r="284" spans="3:5">
      <c r="C284" s="28"/>
      <c r="D284" s="28"/>
      <c r="E284" s="28"/>
    </row>
    <row r="285" spans="3:5">
      <c r="C285" s="28"/>
      <c r="D285" s="28"/>
      <c r="E285" s="28"/>
    </row>
    <row r="286" spans="3:5">
      <c r="C286" s="28"/>
      <c r="D286" s="28"/>
      <c r="E286" s="28"/>
    </row>
    <row r="287" spans="3:5">
      <c r="C287" s="28"/>
      <c r="D287" s="28"/>
      <c r="E287" s="28"/>
    </row>
    <row r="288" spans="3:5">
      <c r="C288" s="28"/>
      <c r="D288" s="28"/>
      <c r="E288" s="28"/>
    </row>
    <row r="289" spans="3:5">
      <c r="C289" s="28"/>
      <c r="D289" s="28"/>
      <c r="E289" s="28"/>
    </row>
    <row r="290" spans="3:5">
      <c r="C290" s="28"/>
      <c r="D290" s="28"/>
      <c r="E290" s="28"/>
    </row>
    <row r="291" spans="3:5">
      <c r="C291" s="28"/>
      <c r="D291" s="28"/>
      <c r="E291" s="28"/>
    </row>
    <row r="292" spans="3:5">
      <c r="C292" s="28"/>
      <c r="D292" s="28"/>
      <c r="E292" s="28"/>
    </row>
    <row r="293" spans="3:5">
      <c r="C293" s="28"/>
      <c r="D293" s="28"/>
      <c r="E293" s="28"/>
    </row>
    <row r="294" spans="3:5">
      <c r="C294" s="28"/>
      <c r="D294" s="28"/>
      <c r="E294" s="28"/>
    </row>
    <row r="295" spans="3:5">
      <c r="C295" s="28"/>
      <c r="D295" s="28"/>
      <c r="E295" s="28"/>
    </row>
    <row r="296" spans="3:5">
      <c r="C296" s="28"/>
      <c r="D296" s="28"/>
      <c r="E296" s="28"/>
    </row>
    <row r="297" spans="3:5">
      <c r="C297" s="28"/>
      <c r="D297" s="28"/>
      <c r="E297" s="28"/>
    </row>
    <row r="298" spans="3:5">
      <c r="C298" s="28"/>
      <c r="D298" s="28"/>
      <c r="E298" s="28"/>
    </row>
    <row r="299" spans="3:5">
      <c r="C299" s="28"/>
      <c r="D299" s="28"/>
      <c r="E299" s="28"/>
    </row>
    <row r="300" spans="3:5">
      <c r="C300" s="28"/>
      <c r="D300" s="28"/>
      <c r="E300" s="28"/>
    </row>
    <row r="301" spans="3:5">
      <c r="C301" s="28"/>
      <c r="D301" s="28"/>
      <c r="E301" s="28"/>
    </row>
    <row r="302" spans="3:5">
      <c r="C302" s="28"/>
      <c r="D302" s="28"/>
      <c r="E302" s="28"/>
    </row>
    <row r="303" spans="3:5">
      <c r="C303" s="28"/>
      <c r="D303" s="28"/>
      <c r="E303" s="28"/>
    </row>
    <row r="304" spans="3:5">
      <c r="C304" s="28"/>
      <c r="D304" s="28"/>
      <c r="E304" s="28"/>
    </row>
    <row r="305" spans="3:5">
      <c r="C305" s="28"/>
      <c r="D305" s="28"/>
      <c r="E305" s="28"/>
    </row>
    <row r="306" spans="3:5">
      <c r="C306" s="28"/>
      <c r="D306" s="28"/>
      <c r="E306" s="28"/>
    </row>
    <row r="307" spans="3:5">
      <c r="C307" s="28"/>
      <c r="D307" s="28"/>
      <c r="E307" s="28"/>
    </row>
    <row r="308" spans="3:5">
      <c r="C308" s="28"/>
      <c r="D308" s="28"/>
      <c r="E308" s="28"/>
    </row>
    <row r="309" spans="3:5">
      <c r="C309" s="28"/>
      <c r="D309" s="28"/>
      <c r="E309" s="28"/>
    </row>
    <row r="310" spans="3:5">
      <c r="C310" s="28"/>
      <c r="D310" s="28"/>
      <c r="E310" s="28"/>
    </row>
    <row r="311" spans="3:5">
      <c r="C311" s="28"/>
      <c r="D311" s="28"/>
      <c r="E311" s="28"/>
    </row>
    <row r="312" spans="3:5">
      <c r="C312" s="28"/>
      <c r="D312" s="28"/>
      <c r="E312" s="28"/>
    </row>
    <row r="313" spans="3:5">
      <c r="C313" s="28"/>
      <c r="D313" s="28"/>
      <c r="E313" s="28"/>
    </row>
    <row r="314" spans="3:5">
      <c r="C314" s="28"/>
      <c r="D314" s="28"/>
      <c r="E314" s="28"/>
    </row>
    <row r="315" spans="3:5">
      <c r="C315" s="28"/>
      <c r="D315" s="28"/>
      <c r="E315" s="28"/>
    </row>
    <row r="316" spans="3:5">
      <c r="C316" s="28"/>
      <c r="D316" s="28"/>
      <c r="E316" s="28"/>
    </row>
    <row r="317" spans="3:5">
      <c r="C317" s="28"/>
      <c r="D317" s="28"/>
      <c r="E317" s="28"/>
    </row>
    <row r="318" spans="3:5">
      <c r="C318" s="28"/>
      <c r="D318" s="28"/>
      <c r="E318" s="28"/>
    </row>
    <row r="319" spans="3:5">
      <c r="C319" s="28"/>
      <c r="D319" s="28"/>
      <c r="E319" s="28"/>
    </row>
    <row r="320" spans="3:5">
      <c r="C320" s="28"/>
      <c r="D320" s="28"/>
      <c r="E320" s="28"/>
    </row>
    <row r="321" spans="3:5">
      <c r="C321" s="28"/>
      <c r="D321" s="28"/>
      <c r="E321" s="28"/>
    </row>
    <row r="322" spans="3:5">
      <c r="C322" s="28"/>
      <c r="D322" s="28"/>
      <c r="E322" s="28"/>
    </row>
    <row r="323" spans="3:5">
      <c r="C323" s="28"/>
      <c r="D323" s="28"/>
      <c r="E323" s="28"/>
    </row>
    <row r="324" spans="3:5">
      <c r="C324" s="28"/>
      <c r="D324" s="28"/>
      <c r="E324" s="28"/>
    </row>
    <row r="325" spans="3:5">
      <c r="C325" s="28"/>
      <c r="D325" s="28"/>
      <c r="E325" s="28"/>
    </row>
    <row r="326" spans="3:5">
      <c r="C326" s="28"/>
      <c r="D326" s="28"/>
      <c r="E326" s="28"/>
    </row>
    <row r="327" spans="3:5">
      <c r="C327" s="28"/>
      <c r="D327" s="28"/>
      <c r="E327" s="28"/>
    </row>
    <row r="328" spans="3:5">
      <c r="C328" s="28"/>
      <c r="D328" s="28"/>
      <c r="E328" s="28"/>
    </row>
    <row r="329" spans="3:5">
      <c r="C329" s="28"/>
      <c r="D329" s="28"/>
      <c r="E329" s="28"/>
    </row>
    <row r="330" spans="3:5">
      <c r="C330" s="28"/>
      <c r="D330" s="28"/>
      <c r="E330" s="28"/>
    </row>
    <row r="331" spans="3:5">
      <c r="C331" s="28"/>
      <c r="D331" s="28"/>
      <c r="E331" s="28"/>
    </row>
    <row r="332" spans="3:5">
      <c r="C332" s="28"/>
      <c r="D332" s="28"/>
      <c r="E332" s="28"/>
    </row>
    <row r="333" spans="3:5">
      <c r="C333" s="28"/>
      <c r="D333" s="28"/>
      <c r="E333" s="28"/>
    </row>
    <row r="334" spans="3:5">
      <c r="C334" s="28"/>
      <c r="D334" s="28"/>
      <c r="E334" s="28"/>
    </row>
    <row r="335" spans="3:5">
      <c r="C335" s="28"/>
      <c r="D335" s="28"/>
      <c r="E335" s="28"/>
    </row>
    <row r="336" spans="3:5">
      <c r="C336" s="28"/>
      <c r="D336" s="28"/>
      <c r="E336" s="28"/>
    </row>
    <row r="337" spans="3:5">
      <c r="C337" s="28"/>
      <c r="D337" s="28"/>
      <c r="E337" s="28"/>
    </row>
    <row r="338" spans="3:5">
      <c r="C338" s="28"/>
      <c r="D338" s="28"/>
      <c r="E338" s="28"/>
    </row>
    <row r="339" spans="3:5">
      <c r="C339" s="28"/>
      <c r="D339" s="28"/>
      <c r="E339" s="28"/>
    </row>
    <row r="340" spans="3:5">
      <c r="C340" s="28"/>
      <c r="D340" s="28"/>
      <c r="E340" s="28"/>
    </row>
  </sheetData>
  <mergeCells count="23">
    <mergeCell ref="C21:D21"/>
    <mergeCell ref="E21:F21"/>
    <mergeCell ref="N21:O21"/>
    <mergeCell ref="Q21:R21"/>
    <mergeCell ref="L22:M22"/>
    <mergeCell ref="C37:D37"/>
    <mergeCell ref="E37:F37"/>
    <mergeCell ref="I37:J37"/>
    <mergeCell ref="B39:K39"/>
    <mergeCell ref="B42:I42"/>
    <mergeCell ref="B47:F47"/>
    <mergeCell ref="B48:I48"/>
    <mergeCell ref="I51:J51"/>
    <mergeCell ref="A21:A22"/>
    <mergeCell ref="G21:G22"/>
    <mergeCell ref="G40:G41"/>
    <mergeCell ref="H21:H22"/>
    <mergeCell ref="H40:H41"/>
    <mergeCell ref="I21:I22"/>
    <mergeCell ref="J40:J41"/>
    <mergeCell ref="K21:K22"/>
    <mergeCell ref="K40:K41"/>
    <mergeCell ref="B40:F41"/>
  </mergeCells>
  <pageMargins left="0.31496062992126" right="0.236220472440945" top="0.15748031496063" bottom="0" header="0.31496062992126" footer="0.31496062992126"/>
  <pageSetup paperSize="9" scale="91" orientation="portrait" horizontalDpi="600" verticalDpi="600"/>
  <headerFooter/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Hewlett-Packard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venkovní žaluzie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</dc:creator>
  <cp:lastModifiedBy>goode</cp:lastModifiedBy>
  <cp:revision>1</cp:revision>
  <dcterms:created xsi:type="dcterms:W3CDTF">2010-02-12T08:06:00Z</dcterms:created>
  <cp:lastPrinted>2023-04-03T15:45:00Z</cp:lastPrinted>
  <dcterms:modified xsi:type="dcterms:W3CDTF">2026-10-30T13:10:51Z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02AD8425B7AC4F49B372E2A62B3646B4_13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