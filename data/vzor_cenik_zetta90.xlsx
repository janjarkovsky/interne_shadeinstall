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venkovní žaluzie" sheetId="3" r:id="rId1"/>
  </sheets>
  <definedNames>
    <definedName name="_xlnm.Print_Area" localSheetId="0">'venkovní žaluzie'!$A$1:$K$63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<sst xmlns="http://schemas.openxmlformats.org/spreadsheetml/2006/main" count="65" uniqueCount="55">
  <si>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</si>
  <si>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</si>
  <si>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</si>
  <si>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</si>
  <si>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</si>
  <si>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</si>
  <si>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</si>
  <si>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motorické-dálkové, výběr ovladačů viz "Příslušenství Somfy"</t>
  </si>
  <si>
    <t xml:space="preserve"> - cena za vybrané ovladače bude následně k nabídce přičtena</t>
  </si>
  <si>
    <t xml:space="preserve"> - motory Somfy J4S iO tichý chod s detekcí překážky</t>
  </si>
  <si>
    <t xml:space="preserve"> - motrory lze ovládat přes mobilní aplikaci (nutno dokoupit Somfy Tahoma Switch)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</si>
  <si>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</si>
  <si>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</si>
  <si>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stříbrný elox (barva RAL za příplatek)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</si>
  <si>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</si>
  <si>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</si>
  <si>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</si>
  <si>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</si>
  <si>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</si>
  <si>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</si>
  <si>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</si>
  <si>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</si>
  <si>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</si>
  <si>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</si>
  <si>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</si>
  <si>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</si>
  <si>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</si>
  <si>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</si>
  <si>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</si>
  <si>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</si>
  <si>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</si>
  <si>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</si>
  <si>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</si>
  <si>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</si>
  <si>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</si>
  <si>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</si>
  <si>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</si>
  <si>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Krycí plechy vnější</t>
  </si>
  <si>
    <t>bm</t>
  </si>
  <si>
    <t>Motor Somfy vč. přijímače DO</t>
  </si>
  <si>
    <t>Montáž + doprava</t>
  </si>
  <si>
    <t>Doprava (1x zaměření 1x montáž)</t>
  </si>
  <si>
    <t xml:space="preserve">Montáž </t>
  </si>
  <si>
    <t>Příplatky celkem :</t>
  </si>
  <si>
    <t xml:space="preserve"> - nabídka neobsahuje elektropřípravu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</si>
  <si>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</si>
  <si>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</si>
  <si>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</si>
  <si>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</si>
  <si>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</si>
  <si>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</si>
  <si>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</si>
  <si>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>3 roky na žaluzie, 5 let na příslušenství Somfy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</si>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</sst>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6">
    <font>
      <sz val="10"/>
      <name val="Arial CE"/>
      <charset val="238"/>
    </font>
    <font>
      <sz val="12"/>
      <name val="Times New Roman CE"/>
      <charset val="238"/>
    </font>
    <font>
      <sz val="10"/>
      <name val="Times New Roman CE"/>
      <charset val="238"/>
    </font>
    <font>
      <b/>
      <sz val="10"/>
      <color indexed="12"/>
      <name val="Times New Roman CE"/>
      <charset val="238"/>
    </font>
    <font>
      <b/>
      <sz val="9"/>
      <color indexed="12"/>
      <name val="Times New Roman CE"/>
      <charset val="238"/>
    </font>
    <font>
      <sz val="10"/>
      <color indexed="12"/>
      <name val="Times New Roman CE"/>
      <charset val="238"/>
    </font>
    <font>
      <sz val="9"/>
      <color indexed="12"/>
      <name val="Times New Roman CE"/>
      <charset val="238"/>
    </font>
    <font>
      <b/>
      <sz val="12"/>
      <name val="Times New Roman CE"/>
      <charset val="238"/>
    </font>
    <font>
      <sz val="12"/>
      <name val="Arial CE"/>
      <charset val="238"/>
    </font>
    <font>
      <b/>
      <sz val="12"/>
      <color rgb="FFFF0000"/>
      <name val="Times New Roman CE"/>
      <charset val="238"/>
    </font>
    <font>
      <sz val="12"/>
      <name val="Times New Roman CE"/>
      <charset val="238"/>
    </font>
    <font>
      <u/>
      <sz val="10"/>
      <color theme="10"/>
      <name val="Arial CE"/>
      <charset val="238"/>
    </font>
    <font>
      <b/>
      <sz val="10"/>
      <name val="Times New Roman CE"/>
      <charset val="238"/>
    </font>
    <font>
      <b/>
      <sz val="11"/>
      <color rgb="FF30A9C6"/>
      <name val="Arial"/>
      <charset val="238"/>
    </font>
    <font>
      <b/>
      <sz val="11"/>
      <name val="Arial"/>
      <charset val="238"/>
    </font>
    <font>
      <b/>
      <sz val="11"/>
      <color rgb="FF005F8E"/>
      <name val="Arial"/>
      <charset val="238"/>
    </font>
    <font>
      <b/>
      <sz val="10"/>
      <name val="Arial CE"/>
      <charset val="238"/>
    </font>
    <font>
      <b/>
      <sz val="12"/>
      <color theme="1"/>
      <name val="Times New Roman CE"/>
      <charset val="238"/>
    </font>
    <font>
      <sz val="11"/>
      <name val="Arial"/>
      <charset val="238"/>
    </font>
    <font>
      <i/>
      <sz val="12"/>
      <name val="Times New Roman CE"/>
      <charset val="238"/>
    </font>
    <font>
      <u/>
      <sz val="12"/>
      <color indexed="48"/>
      <name val="Times New Roman CE"/>
      <charset val="238"/>
    </font>
    <font>
      <b/>
      <sz val="11"/>
      <color rgb="FFFF0000"/>
      <name val="Arial"/>
      <charset val="238"/>
    </font>
    <font>
      <i/>
      <sz val="8"/>
      <name val="Arial"/>
      <charset val="238"/>
    </font>
    <font>
      <b/>
      <i/>
      <sz val="10"/>
      <name val="Arial"/>
      <charset val="238"/>
    </font>
    <font>
      <i/>
      <sz val="10"/>
      <name val="Arial"/>
      <charset val="238"/>
    </font>
    <font>
      <b/>
      <i/>
      <sz val="10"/>
      <name val="Times New Roman CE"/>
      <charset val="238"/>
    </font>
    <font>
      <b/>
      <i/>
      <sz val="7"/>
      <name val="Arial"/>
      <charset val="238"/>
    </font>
    <font>
      <sz val="12"/>
      <color theme="0"/>
      <name val="Times New Roman CE"/>
      <charset val="238"/>
    </font>
    <font>
      <i/>
      <sz val="12"/>
      <name val="Times New Roman CE"/>
      <charset val="238"/>
    </font>
    <font>
      <sz val="12"/>
      <name val="Times New Roman"/>
      <charset val="238"/>
    </font>
    <font>
      <sz val="10"/>
      <name val="Arial"/>
      <charset val="238"/>
    </font>
    <font>
      <b/>
      <sz val="12"/>
      <name val="Arial"/>
      <charset val="238"/>
    </font>
    <font>
      <sz val="12"/>
      <name val="Arial"/>
      <charset val="238"/>
    </font>
    <font>
      <sz val="12"/>
      <color rgb="FFFF0000"/>
      <name val="Times New Roman CE"/>
      <charset val="238"/>
    </font>
    <font>
      <b/>
      <sz val="12"/>
      <color rgb="FFFF0000"/>
      <name val="Times New Roman CE"/>
      <charset val="238"/>
    </font>
    <font>
      <sz val="11"/>
      <name val="Times New Roman CE"/>
      <charset val="238"/>
    </font>
    <font>
      <b/>
      <u/>
      <sz val="12"/>
      <name val="Times New Roman CE"/>
      <charset val="238"/>
    </font>
    <font>
      <b/>
      <sz val="12"/>
      <name val="Times New Roman CE"/>
      <charset val="238"/>
    </font>
    <font>
      <u/>
      <sz val="10"/>
      <color theme="11"/>
      <name val="Arial CE"/>
      <charset val="238"/>
    </font>
    <font>
      <sz val="11"/>
      <color rgb="FFFF0000"/>
      <name val="Calibri"/>
      <charset val="238"/>
      <scheme val="minor"/>
    </font>
    <font>
      <b/>
      <sz val="18"/>
      <color theme="3"/>
      <name val="Cambria"/>
      <charset val="238"/>
      <scheme val="major"/>
    </font>
    <font>
      <i/>
      <sz val="11"/>
      <color rgb="FF7F7F7F"/>
      <name val="Calibri"/>
      <charset val="238"/>
      <scheme val="minor"/>
    </font>
    <font>
      <b/>
      <sz val="15"/>
      <color theme="3"/>
      <name val="Calibri"/>
      <charset val="238"/>
      <scheme val="minor"/>
    </font>
    <font>
      <b/>
      <sz val="13"/>
      <color theme="3"/>
      <name val="Calibri"/>
      <charset val="238"/>
      <scheme val="minor"/>
    </font>
    <font>
      <b/>
      <sz val="11"/>
      <color theme="3"/>
      <name val="Calibri"/>
      <charset val="238"/>
      <scheme val="minor"/>
    </font>
    <font>
      <sz val="11"/>
      <color rgb="FF3F3F76"/>
      <name val="Calibri"/>
      <charset val="238"/>
      <scheme val="minor"/>
    </font>
    <font>
      <b/>
      <sz val="11"/>
      <color rgb="FF3F3F3F"/>
      <name val="Calibri"/>
      <charset val="238"/>
      <scheme val="minor"/>
    </font>
    <font>
      <b/>
      <sz val="11"/>
      <color rgb="FFFA7D00"/>
      <name val="Calibri"/>
      <charset val="238"/>
      <scheme val="minor"/>
    </font>
    <font>
      <b/>
      <sz val="11"/>
      <color theme="0"/>
      <name val="Calibri"/>
      <charset val="238"/>
      <scheme val="minor"/>
    </font>
    <font>
      <sz val="11"/>
      <color rgb="FFFA7D00"/>
      <name val="Calibri"/>
      <charset val="238"/>
      <scheme val="minor"/>
    </font>
    <font>
      <b/>
      <sz val="11"/>
      <color theme="1"/>
      <name val="Calibri"/>
      <charset val="238"/>
      <scheme val="minor"/>
    </font>
    <font>
      <sz val="11"/>
      <color rgb="FF006100"/>
      <name val="Calibri"/>
      <charset val="238"/>
      <scheme val="minor"/>
    </font>
    <font>
      <sz val="11"/>
      <color rgb="FF9C0006"/>
      <name val="Calibri"/>
      <charset val="238"/>
      <scheme val="minor"/>
    </font>
    <font>
      <sz val="11"/>
      <color rgb="FF9C6500"/>
      <name val="Calibri"/>
      <charset val="238"/>
      <scheme val="minor"/>
    </font>
    <font>
      <sz val="11"/>
      <color theme="0"/>
      <name val="Calibri"/>
      <charset val="238"/>
      <scheme val="minor"/>
    </font>
    <font>
      <sz val="11"/>
      <color theme="1"/>
      <name val="Calibri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0" fillId="4" borderId="34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5" applyNumberFormat="0" applyFill="0" applyAlignment="0" applyProtection="0"/>
    <xf numFmtId="0" fontId="43" fillId="0" borderId="36" applyNumberFormat="0" applyFill="0" applyAlignment="0" applyProtection="0"/>
    <xf numFmtId="0" fontId="44" fillId="0" borderId="37" applyNumberFormat="0" applyFill="0" applyAlignment="0" applyProtection="0"/>
    <xf numFmtId="0" fontId="44" fillId="0" borderId="0" applyNumberFormat="0" applyFill="0" applyBorder="0" applyAlignment="0" applyProtection="0"/>
    <xf numFmtId="0" fontId="45" fillId="5" borderId="38" applyNumberFormat="0" applyAlignment="0" applyProtection="0"/>
    <xf numFmtId="0" fontId="46" fillId="6" borderId="39" applyNumberFormat="0" applyAlignment="0" applyProtection="0"/>
    <xf numFmtId="0" fontId="47" fillId="6" borderId="38" applyNumberFormat="0" applyAlignment="0" applyProtection="0"/>
    <xf numFmtId="0" fontId="48" fillId="7" borderId="40" applyNumberFormat="0" applyAlignment="0" applyProtection="0"/>
    <xf numFmtId="0" fontId="49" fillId="0" borderId="41" applyNumberFormat="0" applyFill="0" applyAlignment="0" applyProtection="0"/>
    <xf numFmtId="0" fontId="50" fillId="0" borderId="42" applyNumberFormat="0" applyFill="0" applyAlignment="0" applyProtection="0"/>
    <xf numFmtId="0" fontId="51" fillId="8" borderId="0" applyNumberFormat="0" applyBorder="0" applyAlignment="0" applyProtection="0"/>
    <xf numFmtId="0" fontId="52" fillId="9" borderId="0" applyNumberFormat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4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0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1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2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181" fontId="16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3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5" fillId="0" borderId="0" xfId="0" applyFont="1" applyBorder="1" applyAlignment="1"/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9" fontId="14" fillId="2" borderId="6" xfId="0" applyNumberFormat="1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" fillId="0" borderId="0" xfId="0" applyFont="1" applyBorder="1"/>
    <xf numFmtId="0" fontId="29" fillId="0" borderId="0" xfId="0" applyFont="1"/>
    <xf numFmtId="0" fontId="18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" fontId="30" fillId="0" borderId="13" xfId="0" applyNumberFormat="1" applyFont="1" applyBorder="1" applyAlignment="1">
      <alignment horizontal="center" vertical="center"/>
    </xf>
    <xf numFmtId="182" fontId="24" fillId="0" borderId="14" xfId="0" applyNumberFormat="1" applyFont="1" applyBorder="1" applyAlignment="1">
      <alignment horizontal="center" vertical="center"/>
    </xf>
    <xf numFmtId="182" fontId="18" fillId="0" borderId="13" xfId="0" applyNumberFormat="1" applyFont="1" applyBorder="1" applyAlignment="1">
      <alignment horizontal="center" vertical="center"/>
    </xf>
    <xf numFmtId="182" fontId="18" fillId="0" borderId="15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Fill="1" applyBorder="1" applyAlignment="1">
      <alignment horizontal="center" vertical="center"/>
    </xf>
    <xf numFmtId="183" fontId="18" fillId="2" borderId="12" xfId="0" applyNumberFormat="1" applyFont="1" applyFill="1" applyBorder="1" applyAlignment="1">
      <alignment horizontal="center" vertical="center"/>
    </xf>
    <xf numFmtId="183" fontId="18" fillId="0" borderId="15" xfId="0" applyNumberFormat="1" applyFont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83" fontId="31" fillId="0" borderId="18" xfId="0" applyNumberFormat="1" applyFont="1" applyBorder="1" applyAlignment="1">
      <alignment horizontal="right" vertical="center"/>
    </xf>
    <xf numFmtId="0" fontId="33" fillId="0" borderId="0" xfId="0" applyFont="1" applyBorder="1" applyAlignment="1">
      <alignment horizontal="center"/>
    </xf>
    <xf numFmtId="1" fontId="34" fillId="0" borderId="0" xfId="0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8" fillId="0" borderId="6" xfId="0" applyFont="1" applyBorder="1" applyAlignment="1">
      <alignment horizontal="center"/>
    </xf>
    <xf numFmtId="183" fontId="14" fillId="0" borderId="8" xfId="0" applyNumberFormat="1" applyFont="1" applyBorder="1" applyAlignment="1">
      <alignment horizontal="center" vertical="center"/>
    </xf>
    <xf numFmtId="0" fontId="18" fillId="2" borderId="6" xfId="0" applyFont="1" applyFill="1" applyBorder="1" applyAlignment="1">
      <alignment horizontal="center"/>
    </xf>
    <xf numFmtId="1" fontId="14" fillId="0" borderId="16" xfId="0" applyNumberFormat="1" applyFont="1" applyBorder="1" applyAlignment="1">
      <alignment horizontal="left"/>
    </xf>
    <xf numFmtId="1" fontId="14" fillId="0" borderId="17" xfId="0" applyNumberFormat="1" applyFont="1" applyBorder="1" applyAlignment="1">
      <alignment horizontal="left"/>
    </xf>
    <xf numFmtId="1" fontId="14" fillId="0" borderId="18" xfId="0" applyNumberFormat="1" applyFont="1" applyBorder="1" applyAlignment="1">
      <alignment horizontal="left"/>
    </xf>
    <xf numFmtId="9" fontId="14" fillId="2" borderId="19" xfId="0" applyNumberFormat="1" applyFont="1" applyFill="1" applyBorder="1" applyAlignment="1">
      <alignment horizontal="center"/>
    </xf>
    <xf numFmtId="183" fontId="18" fillId="0" borderId="15" xfId="0" applyNumberFormat="1" applyFont="1" applyFill="1" applyBorder="1" applyAlignment="1">
      <alignment horizontal="right" vertical="center"/>
    </xf>
    <xf numFmtId="0" fontId="18" fillId="0" borderId="24" xfId="0" applyFont="1" applyBorder="1" applyAlignment="1">
      <alignment horizontal="left"/>
    </xf>
    <xf numFmtId="182" fontId="18" fillId="0" borderId="25" xfId="0" applyNumberFormat="1" applyFont="1" applyBorder="1" applyAlignment="1">
      <alignment horizontal="center"/>
    </xf>
    <xf numFmtId="182" fontId="18" fillId="0" borderId="15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3" fontId="18" fillId="0" borderId="12" xfId="0" applyNumberFormat="1" applyFont="1" applyFill="1" applyBorder="1" applyAlignment="1">
      <alignment horizontal="center"/>
    </xf>
    <xf numFmtId="182" fontId="18" fillId="0" borderId="12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left" wrapText="1"/>
    </xf>
    <xf numFmtId="0" fontId="0" fillId="0" borderId="27" xfId="0" applyBorder="1" applyAlignment="1"/>
    <xf numFmtId="0" fontId="0" fillId="0" borderId="28" xfId="0" applyBorder="1" applyAlignment="1"/>
    <xf numFmtId="9" fontId="14" fillId="0" borderId="19" xfId="0" applyNumberFormat="1" applyFont="1" applyFill="1" applyBorder="1" applyAlignment="1">
      <alignment horizontal="center"/>
    </xf>
    <xf numFmtId="183" fontId="18" fillId="0" borderId="18" xfId="0" applyNumberFormat="1" applyFont="1" applyFill="1" applyBorder="1" applyAlignment="1">
      <alignment horizontal="right" vertical="center"/>
    </xf>
    <xf numFmtId="0" fontId="18" fillId="0" borderId="29" xfId="0" applyFont="1" applyBorder="1" applyAlignment="1">
      <alignment horizontal="left"/>
    </xf>
    <xf numFmtId="182" fontId="18" fillId="0" borderId="30" xfId="0" applyNumberFormat="1" applyFont="1" applyBorder="1" applyAlignment="1">
      <alignment horizontal="center"/>
    </xf>
    <xf numFmtId="1" fontId="18" fillId="0" borderId="31" xfId="0" applyNumberFormat="1" applyFont="1" applyBorder="1" applyAlignment="1">
      <alignment horizontal="center"/>
    </xf>
    <xf numFmtId="3" fontId="18" fillId="0" borderId="31" xfId="0" applyNumberFormat="1" applyFont="1" applyFill="1" applyBorder="1" applyAlignment="1">
      <alignment horizontal="center"/>
    </xf>
    <xf numFmtId="183" fontId="18" fillId="0" borderId="31" xfId="0" applyNumberFormat="1" applyFont="1" applyFill="1" applyBorder="1" applyAlignment="1">
      <alignment horizontal="center" vertical="center"/>
    </xf>
    <xf numFmtId="183" fontId="18" fillId="0" borderId="32" xfId="0" applyNumberFormat="1" applyFont="1" applyFill="1" applyBorder="1" applyAlignment="1">
      <alignment horizontal="right" vertical="center"/>
    </xf>
    <xf numFmtId="0" fontId="14" fillId="0" borderId="16" xfId="0" applyFont="1" applyBorder="1"/>
    <xf numFmtId="0" fontId="18" fillId="0" borderId="17" xfId="0" applyFont="1" applyBorder="1"/>
    <xf numFmtId="0" fontId="14" fillId="0" borderId="17" xfId="0" applyFont="1" applyBorder="1" applyAlignment="1">
      <alignment horizontal="right" vertical="center"/>
    </xf>
    <xf numFmtId="0" fontId="18" fillId="0" borderId="17" xfId="0" applyFont="1" applyBorder="1" applyAlignment="1">
      <alignment horizontal="right" vertical="center"/>
    </xf>
    <xf numFmtId="183" fontId="14" fillId="0" borderId="18" xfId="0" applyNumberFormat="1" applyFont="1" applyBorder="1" applyAlignment="1">
      <alignment horizontal="right" vertical="center"/>
    </xf>
    <xf numFmtId="0" fontId="18" fillId="0" borderId="0" xfId="0" applyFont="1" applyBorder="1"/>
    <xf numFmtId="0" fontId="14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83" fontId="14" fillId="0" borderId="0" xfId="0" applyNumberFormat="1" applyFont="1" applyBorder="1" applyAlignment="1">
      <alignment horizontal="right" vertical="center"/>
    </xf>
    <xf numFmtId="0" fontId="18" fillId="0" borderId="0" xfId="0" applyFont="1"/>
    <xf numFmtId="0" fontId="14" fillId="0" borderId="2" xfId="0" applyFont="1" applyBorder="1" applyAlignment="1">
      <alignment horizontal="left" vertical="center"/>
    </xf>
    <xf numFmtId="0" fontId="18" fillId="0" borderId="33" xfId="0" applyFont="1" applyBorder="1"/>
    <xf numFmtId="0" fontId="18" fillId="0" borderId="33" xfId="0" applyFont="1" applyBorder="1" applyAlignment="1">
      <alignment horizontal="right" vertical="center"/>
    </xf>
    <xf numFmtId="183" fontId="14" fillId="0" borderId="3" xfId="0" applyNumberFormat="1" applyFont="1" applyBorder="1" applyAlignment="1">
      <alignment horizontal="right" vertical="center"/>
    </xf>
    <xf numFmtId="0" fontId="14" fillId="0" borderId="24" xfId="0" applyFont="1" applyBorder="1" applyAlignment="1">
      <alignment horizontal="left" vertical="center"/>
    </xf>
    <xf numFmtId="9" fontId="18" fillId="0" borderId="25" xfId="0" applyNumberFormat="1" applyFont="1" applyBorder="1" applyAlignment="1">
      <alignment horizontal="center" vertical="center"/>
    </xf>
    <xf numFmtId="10" fontId="18" fillId="0" borderId="25" xfId="0" applyNumberFormat="1" applyFont="1" applyBorder="1" applyAlignment="1">
      <alignment horizontal="left" vertical="center"/>
    </xf>
    <xf numFmtId="184" fontId="14" fillId="0" borderId="15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right" vertical="center"/>
    </xf>
    <xf numFmtId="0" fontId="18" fillId="2" borderId="11" xfId="0" applyFont="1" applyFill="1" applyBorder="1"/>
    <xf numFmtId="183" fontId="14" fillId="2" borderId="8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18" fillId="0" borderId="0" xfId="0" applyFont="1" applyFill="1" applyBorder="1"/>
    <xf numFmtId="183" fontId="14" fillId="0" borderId="0" xfId="0" applyNumberFormat="1" applyFont="1" applyFill="1" applyBorder="1" applyAlignment="1">
      <alignment horizontal="right" vertical="center"/>
    </xf>
    <xf numFmtId="0" fontId="35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3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36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1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1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611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54</xdr:row>
      <xdr:rowOff>76200</xdr:rowOff>
    </xdr:from>
    <xdr:to>
      <xdr:col>10</xdr:col>
      <xdr:colOff>1078230</xdr:colOff>
      <xdr:row>57</xdr:row>
      <xdr:rowOff>48260</xdr:rowOff>
    </xdr:to>
    <xdr:pic>
      <xdr:nvPicPr>
        <xdr:cNvPr id="1612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124077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196215</xdr:colOff>
      <xdr:row>51</xdr:row>
      <xdr:rowOff>152400</xdr:rowOff>
    </xdr:from>
    <xdr:to>
      <xdr:col>4</xdr:col>
      <xdr:colOff>448945</xdr:colOff>
      <xdr:row>54</xdr:row>
      <xdr:rowOff>38100</xdr:rowOff>
    </xdr:to>
    <xdr:pic>
      <xdr:nvPicPr>
        <xdr:cNvPr id="1613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755" y="10316845"/>
          <a:ext cx="165671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59</xdr:row>
      <xdr:rowOff>180975</xdr:rowOff>
    </xdr:from>
    <xdr:to>
      <xdr:col>11</xdr:col>
      <xdr:colOff>24765</xdr:colOff>
      <xdr:row>63</xdr:row>
      <xdr:rowOff>19050</xdr:rowOff>
    </xdr:to>
    <xdr:pic>
      <xdr:nvPicPr>
        <xdr:cNvPr id="1614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233170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38"/>
  <sheetViews>
    <sheetView showGridLines="0" tabSelected="1" zoomScaleSheetLayoutView="60" topLeftCell="A20" workbookViewId="0">
      <selection activeCell="C47" sqref="C47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K12" s="43"/>
      <c r="L12" s="44"/>
    </row>
    <row r="13" s="1" customFormat="1" ht="19.9" customHeight="1" spans="1:12">
      <c r="A13" s="37"/>
      <c r="B13" s="38"/>
      <c r="D13" s="39"/>
      <c r="E13" s="40" t="s">
        <v>8</v>
      </c>
      <c r="F13" s="41"/>
      <c r="G13" s="42"/>
      <c r="H13" s="41"/>
      <c r="I13" s="41"/>
      <c r="K13" s="43"/>
      <c r="L13" s="44"/>
    </row>
    <row r="14" s="1" customFormat="1" ht="19.9" customHeight="1" spans="1:12">
      <c r="A14" s="37"/>
      <c r="B14" s="38"/>
      <c r="D14" s="39"/>
      <c r="E14" s="40" t="s">
        <v>9</v>
      </c>
      <c r="F14" s="41"/>
      <c r="G14" s="42"/>
      <c r="H14" s="41"/>
      <c r="I14" s="41"/>
      <c r="K14" s="43"/>
      <c r="L14" s="44"/>
    </row>
    <row r="15" s="1" customFormat="1" ht="19.9" customHeight="1" spans="1:12">
      <c r="A15" s="37"/>
      <c r="B15" s="38"/>
      <c r="D15" s="39"/>
      <c r="E15" s="40" t="s">
        <v>10</v>
      </c>
      <c r="F15" s="41"/>
      <c r="G15" s="42"/>
      <c r="H15" s="41"/>
      <c r="I15" s="41"/>
      <c r="K15" s="43"/>
      <c r="L15" s="44"/>
    </row>
    <row r="16" s="1" customFormat="1" ht="16.5" customHeight="1" spans="1:12">
      <c r="A16" s="37"/>
      <c r="D16" s="45"/>
      <c r="E16" s="40" t="s">
        <v>11</v>
      </c>
      <c r="F16" s="46"/>
      <c r="J16" s="42"/>
    </row>
    <row r="17" s="1" customFormat="1" ht="16.5" customHeight="1" spans="1:20">
      <c r="A17" s="37"/>
      <c r="D17" s="45"/>
      <c r="E17" s="40" t="s">
        <v>12</v>
      </c>
      <c r="F17" s="46"/>
      <c r="J17" s="42"/>
    </row>
    <row r="18" s="1" customFormat="1" ht="16.5" customHeight="1" spans="1:20">
      <c r="A18" s="37"/>
      <c r="D18" s="45"/>
      <c r="E18" s="40" t="s">
        <v>13</v>
      </c>
      <c r="F18" s="46"/>
      <c r="J18" s="42"/>
    </row>
    <row r="19" s="1" customFormat="1" ht="1.9" customHeight="1" spans="1:20">
      <c r="A19" s="37"/>
      <c r="D19" s="45"/>
      <c r="E19" s="40"/>
      <c r="F19" s="46"/>
      <c r="J19" s="42"/>
    </row>
    <row r="20" s="1" customFormat="1" ht="16.5" customHeight="1" spans="1:20">
      <c r="A20" s="37"/>
      <c r="B20" s="47"/>
      <c r="D20" s="45"/>
      <c r="E20" s="40"/>
      <c r="F20" s="46"/>
      <c r="J20" s="42"/>
    </row>
    <row r="21" s="2" customFormat="1" ht="15" customHeight="1" spans="1:20">
      <c r="A21" s="48" t="s">
        <v>14</v>
      </c>
      <c r="B21" s="49" t="s">
        <v>15</v>
      </c>
      <c r="C21" s="50"/>
      <c r="D21" s="51"/>
      <c r="E21" s="52"/>
      <c r="F21" s="53"/>
      <c r="G21" s="48" t="s">
        <v>16</v>
      </c>
      <c r="H21" s="48" t="s">
        <v>17</v>
      </c>
      <c r="I21" s="48" t="s">
        <v>18</v>
      </c>
      <c r="J21" s="54" t="s">
        <v>19</v>
      </c>
      <c r="K21" s="48" t="s">
        <v>20</v>
      </c>
      <c r="M21" s="55"/>
      <c r="N21" s="56"/>
      <c r="O21" s="57"/>
      <c r="Q21" s="56"/>
      <c r="R21" s="57"/>
    </row>
    <row r="22" s="2" customFormat="1" ht="15" customHeight="1" spans="1:20">
      <c r="A22" s="58"/>
      <c r="B22" s="59" t="s">
        <v>21</v>
      </c>
      <c r="C22" s="60" t="s">
        <v>15</v>
      </c>
      <c r="D22" s="61" t="s">
        <v>22</v>
      </c>
      <c r="E22" s="62" t="s">
        <v>23</v>
      </c>
      <c r="F22" s="63" t="s">
        <v>24</v>
      </c>
      <c r="G22" s="58"/>
      <c r="H22" s="64"/>
      <c r="I22" s="58"/>
      <c r="J22" s="65">
        <v>0</v>
      </c>
      <c r="K22" s="58"/>
      <c r="L22" s="66" t="s">
        <v>25</v>
      </c>
      <c r="M22" s="66"/>
      <c r="N22" s="67" t="s">
        <v>26</v>
      </c>
      <c r="O22" s="68" t="s">
        <v>27</v>
      </c>
      <c r="Q22" s="69" t="s">
        <v>26</v>
      </c>
      <c r="R22" s="70" t="s">
        <v>27</v>
      </c>
      <c r="S22" s="71"/>
      <c r="T22" s="72"/>
    </row>
    <row r="23" s="2" customFormat="1" ht="15" customHeight="1" spans="1:20">
      <c r="A23" s="73">
        <v>1</v>
      </c>
      <c r="B23" s="74">
        <v>0</v>
      </c>
      <c r="C23" s="75">
        <f>B23*G23</f>
        <v>0</v>
      </c>
      <c r="D23" s="76"/>
      <c r="E23" s="77"/>
      <c r="F23" s="78"/>
      <c r="G23" s="79">
        <v>0</v>
      </c>
      <c r="H23" s="80">
        <f>(E23*F23*G23)*0.0001</f>
        <v>0</v>
      </c>
      <c r="I23" s="81"/>
      <c r="J23" s="82">
        <f>I23-I23*$J$22</f>
        <v>0</v>
      </c>
      <c r="K23" s="83">
        <f t="shared" ref="K23:K36" si="0">G23*J23</f>
        <v>0</v>
      </c>
      <c r="L23" s="66">
        <f>E23*G23/100</f>
        <v>0</v>
      </c>
      <c r="M23" s="66">
        <f>(F23*G23)/100*2</f>
        <v>0</v>
      </c>
      <c r="N23" s="84"/>
      <c r="O23" s="85"/>
      <c r="Q23" s="84"/>
      <c r="R23" s="85"/>
      <c r="S23" s="71"/>
      <c r="T23" s="72"/>
    </row>
    <row r="24" s="2" customFormat="1" ht="15" customHeight="1" spans="1:20">
      <c r="A24" s="73">
        <v>2</v>
      </c>
      <c r="B24" s="74">
        <v>0</v>
      </c>
      <c r="C24" s="75">
        <f t="shared" ref="C24:C36" si="1">B24*G24</f>
        <v>0</v>
      </c>
      <c r="D24" s="76"/>
      <c r="E24" s="77"/>
      <c r="F24" s="78"/>
      <c r="G24" s="79">
        <v>0</v>
      </c>
      <c r="H24" s="80">
        <f t="shared" ref="H24:H36" si="2">(E24*F24*G24)*0.0001</f>
        <v>0</v>
      </c>
      <c r="I24" s="81"/>
      <c r="J24" s="82">
        <f t="shared" ref="J24:J36" si="3">I24-I24*$J$22</f>
        <v>0</v>
      </c>
      <c r="K24" s="83">
        <f t="shared" si="0"/>
        <v>0</v>
      </c>
      <c r="L24" s="66">
        <f t="shared" ref="L24:L36" si="4">E24*G24/100</f>
        <v>0</v>
      </c>
      <c r="M24" s="66">
        <f t="shared" ref="M24:M36" si="5">(F24*G24)/100*2</f>
        <v>0</v>
      </c>
      <c r="N24" s="84"/>
      <c r="O24" s="85"/>
      <c r="Q24" s="84"/>
      <c r="R24" s="85"/>
      <c r="S24" s="71"/>
      <c r="T24" s="72"/>
    </row>
    <row r="25" s="2" customFormat="1" ht="15" customHeight="1" spans="1:20">
      <c r="A25" s="73">
        <v>3</v>
      </c>
      <c r="B25" s="74">
        <v>0</v>
      </c>
      <c r="C25" s="75">
        <f t="shared" si="1"/>
        <v>0</v>
      </c>
      <c r="D25" s="76"/>
      <c r="E25" s="77"/>
      <c r="F25" s="78"/>
      <c r="G25" s="79">
        <v>0</v>
      </c>
      <c r="H25" s="80">
        <f t="shared" si="2"/>
        <v>0</v>
      </c>
      <c r="I25" s="81"/>
      <c r="J25" s="82">
        <f t="shared" si="3"/>
        <v>0</v>
      </c>
      <c r="K25" s="83">
        <f t="shared" si="0"/>
        <v>0</v>
      </c>
      <c r="L25" s="66">
        <f t="shared" si="4"/>
        <v>0</v>
      </c>
      <c r="M25" s="66">
        <f t="shared" si="5"/>
        <v>0</v>
      </c>
      <c r="N25" s="84"/>
      <c r="O25" s="85"/>
      <c r="Q25" s="84"/>
      <c r="R25" s="85"/>
      <c r="S25" s="71"/>
      <c r="T25" s="72"/>
    </row>
    <row r="26" s="2" customFormat="1" ht="15" customHeight="1" spans="1:20">
      <c r="A26" s="73">
        <v>4</v>
      </c>
      <c r="B26" s="74">
        <v>0</v>
      </c>
      <c r="C26" s="75">
        <f t="shared" si="1"/>
        <v>0</v>
      </c>
      <c r="D26" s="76"/>
      <c r="E26" s="77"/>
      <c r="F26" s="78"/>
      <c r="G26" s="79">
        <v>0</v>
      </c>
      <c r="H26" s="80">
        <f t="shared" si="2"/>
        <v>0</v>
      </c>
      <c r="I26" s="81"/>
      <c r="J26" s="82">
        <f t="shared" si="3"/>
        <v>0</v>
      </c>
      <c r="K26" s="83">
        <f t="shared" si="0"/>
        <v>0</v>
      </c>
      <c r="L26" s="66">
        <f t="shared" si="4"/>
        <v>0</v>
      </c>
      <c r="M26" s="66">
        <f t="shared" si="5"/>
        <v>0</v>
      </c>
      <c r="N26" s="84"/>
      <c r="O26" s="85"/>
      <c r="Q26" s="84"/>
      <c r="R26" s="85"/>
      <c r="S26" s="71"/>
      <c r="T26" s="72"/>
    </row>
    <row r="27" s="2" customFormat="1" ht="15" customHeight="1" spans="1:20">
      <c r="A27" s="73">
        <v>5</v>
      </c>
      <c r="B27" s="74">
        <v>0</v>
      </c>
      <c r="C27" s="75">
        <f t="shared" si="1"/>
        <v>0</v>
      </c>
      <c r="D27" s="76"/>
      <c r="E27" s="77"/>
      <c r="F27" s="78"/>
      <c r="G27" s="79">
        <v>0</v>
      </c>
      <c r="H27" s="80">
        <f t="shared" si="2"/>
        <v>0</v>
      </c>
      <c r="I27" s="81"/>
      <c r="J27" s="82">
        <f t="shared" si="3"/>
        <v>0</v>
      </c>
      <c r="K27" s="83">
        <f t="shared" si="0"/>
        <v>0</v>
      </c>
      <c r="L27" s="66">
        <f t="shared" si="4"/>
        <v>0</v>
      </c>
      <c r="M27" s="66">
        <f t="shared" si="5"/>
        <v>0</v>
      </c>
      <c r="N27" s="84"/>
      <c r="O27" s="85"/>
      <c r="Q27" s="84"/>
      <c r="R27" s="85"/>
      <c r="S27" s="71"/>
      <c r="T27" s="72"/>
    </row>
    <row r="28" s="2" customFormat="1" ht="15" customHeight="1" spans="1:20">
      <c r="A28" s="73">
        <v>6</v>
      </c>
      <c r="B28" s="74">
        <v>0</v>
      </c>
      <c r="C28" s="75">
        <f t="shared" si="1"/>
        <v>0</v>
      </c>
      <c r="D28" s="76"/>
      <c r="E28" s="77"/>
      <c r="F28" s="78"/>
      <c r="G28" s="79">
        <v>0</v>
      </c>
      <c r="H28" s="80">
        <f t="shared" si="2"/>
        <v>0</v>
      </c>
      <c r="I28" s="81"/>
      <c r="J28" s="82">
        <f t="shared" si="3"/>
        <v>0</v>
      </c>
      <c r="K28" s="83">
        <f t="shared" si="0"/>
        <v>0</v>
      </c>
      <c r="L28" s="66">
        <f t="shared" si="4"/>
        <v>0</v>
      </c>
      <c r="M28" s="66">
        <f t="shared" si="5"/>
        <v>0</v>
      </c>
      <c r="N28" s="84"/>
      <c r="O28" s="85"/>
      <c r="Q28" s="84"/>
      <c r="R28" s="85"/>
      <c r="S28" s="71"/>
      <c r="T28" s="72"/>
    </row>
    <row r="29" s="2" customFormat="1" ht="15" customHeight="1" spans="1:20">
      <c r="A29" s="73">
        <v>7</v>
      </c>
      <c r="B29" s="74">
        <v>0</v>
      </c>
      <c r="C29" s="75">
        <f t="shared" si="1"/>
        <v>0</v>
      </c>
      <c r="D29" s="76"/>
      <c r="E29" s="77"/>
      <c r="F29" s="78"/>
      <c r="G29" s="79">
        <v>0</v>
      </c>
      <c r="H29" s="80">
        <f t="shared" si="2"/>
        <v>0</v>
      </c>
      <c r="I29" s="81"/>
      <c r="J29" s="82">
        <f t="shared" si="3"/>
        <v>0</v>
      </c>
      <c r="K29" s="83">
        <f t="shared" si="0"/>
        <v>0</v>
      </c>
      <c r="L29" s="66">
        <f t="shared" si="4"/>
        <v>0</v>
      </c>
      <c r="M29" s="66">
        <f t="shared" si="5"/>
        <v>0</v>
      </c>
      <c r="N29" s="84"/>
      <c r="O29" s="85"/>
      <c r="Q29" s="84"/>
      <c r="R29" s="85"/>
      <c r="S29" s="71"/>
      <c r="T29" s="72"/>
    </row>
    <row r="30" s="2" customFormat="1" ht="15" customHeight="1" spans="1:20">
      <c r="A30" s="73">
        <v>8</v>
      </c>
      <c r="B30" s="74">
        <v>0</v>
      </c>
      <c r="C30" s="75">
        <f t="shared" si="1"/>
        <v>0</v>
      </c>
      <c r="D30" s="76"/>
      <c r="E30" s="77"/>
      <c r="F30" s="78"/>
      <c r="G30" s="79">
        <v>0</v>
      </c>
      <c r="H30" s="80">
        <f t="shared" si="2"/>
        <v>0</v>
      </c>
      <c r="I30" s="81"/>
      <c r="J30" s="82">
        <f t="shared" si="3"/>
        <v>0</v>
      </c>
      <c r="K30" s="83">
        <f t="shared" si="0"/>
        <v>0</v>
      </c>
      <c r="L30" s="66">
        <f t="shared" si="4"/>
        <v>0</v>
      </c>
      <c r="M30" s="66">
        <f t="shared" si="5"/>
        <v>0</v>
      </c>
      <c r="N30" s="84"/>
      <c r="O30" s="85"/>
      <c r="Q30" s="84"/>
      <c r="R30" s="85"/>
      <c r="S30" s="71"/>
      <c r="T30" s="72"/>
    </row>
    <row r="31" s="2" customFormat="1" ht="15" customHeight="1" spans="1:20">
      <c r="A31" s="73">
        <v>9</v>
      </c>
      <c r="B31" s="74">
        <v>0</v>
      </c>
      <c r="C31" s="75">
        <f t="shared" si="1"/>
        <v>0</v>
      </c>
      <c r="D31" s="76"/>
      <c r="E31" s="77"/>
      <c r="F31" s="78"/>
      <c r="G31" s="79">
        <v>0</v>
      </c>
      <c r="H31" s="80">
        <f t="shared" si="2"/>
        <v>0</v>
      </c>
      <c r="I31" s="81"/>
      <c r="J31" s="82">
        <f t="shared" si="3"/>
        <v>0</v>
      </c>
      <c r="K31" s="83">
        <f t="shared" si="0"/>
        <v>0</v>
      </c>
      <c r="L31" s="66">
        <f t="shared" si="4"/>
        <v>0</v>
      </c>
      <c r="M31" s="66">
        <f t="shared" si="5"/>
        <v>0</v>
      </c>
      <c r="N31" s="84"/>
      <c r="O31" s="85"/>
      <c r="Q31" s="84"/>
      <c r="R31" s="85"/>
      <c r="S31" s="71"/>
      <c r="T31" s="72"/>
    </row>
    <row r="32" s="2" customFormat="1" ht="15" customHeight="1" spans="1:20">
      <c r="A32" s="73">
        <v>10</v>
      </c>
      <c r="B32" s="74">
        <v>0</v>
      </c>
      <c r="C32" s="75">
        <f t="shared" si="1"/>
        <v>0</v>
      </c>
      <c r="D32" s="76"/>
      <c r="E32" s="77"/>
      <c r="F32" s="78"/>
      <c r="G32" s="79">
        <v>0</v>
      </c>
      <c r="H32" s="80">
        <f t="shared" si="2"/>
        <v>0</v>
      </c>
      <c r="I32" s="81"/>
      <c r="J32" s="82">
        <f t="shared" si="3"/>
        <v>0</v>
      </c>
      <c r="K32" s="83">
        <f t="shared" si="0"/>
        <v>0</v>
      </c>
      <c r="L32" s="66">
        <f t="shared" si="4"/>
        <v>0</v>
      </c>
      <c r="M32" s="66">
        <f t="shared" si="5"/>
        <v>0</v>
      </c>
      <c r="N32" s="84"/>
      <c r="O32" s="85"/>
      <c r="Q32" s="84"/>
      <c r="R32" s="85"/>
      <c r="S32" s="71"/>
      <c r="T32" s="72"/>
    </row>
    <row r="33" s="2" customFormat="1" ht="15" customHeight="1" spans="1:20">
      <c r="A33" s="73">
        <v>11</v>
      </c>
      <c r="B33" s="74">
        <v>0</v>
      </c>
      <c r="C33" s="75">
        <f t="shared" si="1"/>
        <v>0</v>
      </c>
      <c r="D33" s="76"/>
      <c r="E33" s="77"/>
      <c r="F33" s="78"/>
      <c r="G33" s="79">
        <v>0</v>
      </c>
      <c r="H33" s="80">
        <f t="shared" si="2"/>
        <v>0</v>
      </c>
      <c r="I33" s="81"/>
      <c r="J33" s="82">
        <f t="shared" si="3"/>
        <v>0</v>
      </c>
      <c r="K33" s="83">
        <f t="shared" si="0"/>
        <v>0</v>
      </c>
      <c r="L33" s="66">
        <f t="shared" si="4"/>
        <v>0</v>
      </c>
      <c r="M33" s="66">
        <f t="shared" si="5"/>
        <v>0</v>
      </c>
      <c r="N33" s="84"/>
      <c r="O33" s="85"/>
      <c r="Q33" s="84"/>
      <c r="R33" s="85"/>
      <c r="S33" s="71"/>
      <c r="T33" s="72"/>
    </row>
    <row r="34" s="2" customFormat="1" ht="15" customHeight="1" spans="1:20">
      <c r="A34" s="73">
        <v>12</v>
      </c>
      <c r="B34" s="74">
        <v>0</v>
      </c>
      <c r="C34" s="75">
        <f t="shared" si="1"/>
        <v>0</v>
      </c>
      <c r="D34" s="76"/>
      <c r="E34" s="77"/>
      <c r="F34" s="78"/>
      <c r="G34" s="79">
        <v>0</v>
      </c>
      <c r="H34" s="80">
        <f t="shared" si="2"/>
        <v>0</v>
      </c>
      <c r="I34" s="81"/>
      <c r="J34" s="82">
        <f t="shared" si="3"/>
        <v>0</v>
      </c>
      <c r="K34" s="83">
        <f t="shared" si="0"/>
        <v>0</v>
      </c>
      <c r="L34" s="66">
        <f t="shared" si="4"/>
        <v>0</v>
      </c>
      <c r="M34" s="66">
        <f t="shared" si="5"/>
        <v>0</v>
      </c>
      <c r="N34" s="84"/>
      <c r="O34" s="85"/>
      <c r="Q34" s="84"/>
      <c r="R34" s="85"/>
      <c r="S34" s="71"/>
      <c r="T34" s="72"/>
    </row>
    <row r="35" s="2" customFormat="1" ht="15" customHeight="1" spans="1:20">
      <c r="A35" s="73">
        <v>13</v>
      </c>
      <c r="B35" s="74">
        <v>0</v>
      </c>
      <c r="C35" s="75">
        <f t="shared" si="1"/>
        <v>0</v>
      </c>
      <c r="D35" s="76"/>
      <c r="E35" s="77"/>
      <c r="F35" s="78"/>
      <c r="G35" s="79">
        <v>0</v>
      </c>
      <c r="H35" s="80">
        <f t="shared" si="2"/>
        <v>0</v>
      </c>
      <c r="I35" s="81"/>
      <c r="J35" s="82">
        <f t="shared" si="3"/>
        <v>0</v>
      </c>
      <c r="K35" s="83">
        <f t="shared" si="0"/>
        <v>0</v>
      </c>
      <c r="L35" s="66">
        <f t="shared" si="4"/>
        <v>0</v>
      </c>
      <c r="M35" s="66">
        <f t="shared" si="5"/>
        <v>0</v>
      </c>
      <c r="N35" s="84"/>
      <c r="O35" s="85"/>
      <c r="Q35" s="84"/>
      <c r="R35" s="85"/>
      <c r="S35" s="71"/>
      <c r="T35" s="72"/>
    </row>
    <row r="36" s="2" customFormat="1" ht="15" customHeight="1" spans="1:20">
      <c r="A36" s="73">
        <v>14</v>
      </c>
      <c r="B36" s="74">
        <v>0</v>
      </c>
      <c r="C36" s="75">
        <f t="shared" si="1"/>
        <v>0</v>
      </c>
      <c r="D36" s="76"/>
      <c r="E36" s="77"/>
      <c r="F36" s="78"/>
      <c r="G36" s="79">
        <v>0</v>
      </c>
      <c r="H36" s="80">
        <f t="shared" si="2"/>
        <v>0</v>
      </c>
      <c r="I36" s="81"/>
      <c r="J36" s="82">
        <f t="shared" si="3"/>
        <v>0</v>
      </c>
      <c r="K36" s="83">
        <f t="shared" si="0"/>
        <v>0</v>
      </c>
      <c r="L36" s="66">
        <f t="shared" si="4"/>
        <v>0</v>
      </c>
      <c r="M36" s="66">
        <f t="shared" si="5"/>
        <v>0</v>
      </c>
      <c r="N36" s="84"/>
      <c r="O36" s="85"/>
      <c r="Q36" s="84"/>
      <c r="R36" s="85"/>
      <c r="S36" s="71"/>
      <c r="T36" s="72"/>
    </row>
    <row r="37" s="3" customFormat="1" ht="21" customHeight="1" spans="1:20">
      <c r="A37" s="86"/>
      <c r="B37" s="87"/>
      <c r="C37" s="87"/>
      <c r="D37" s="88"/>
      <c r="E37" s="88" t="s">
        <v>28</v>
      </c>
      <c r="F37" s="89"/>
      <c r="G37" s="90">
        <f>SUM(G23:G36)</f>
        <v>0</v>
      </c>
      <c r="H37" s="91">
        <f>SUM(H23:H36)</f>
        <v>0</v>
      </c>
      <c r="I37" s="92" t="s">
        <v>29</v>
      </c>
      <c r="J37" s="93"/>
      <c r="K37" s="94">
        <f>SUM(K23:K36)</f>
        <v>0</v>
      </c>
      <c r="L37" s="95"/>
      <c r="O37" s="96" t="e">
        <f>SUM(#REF!)</f>
        <v>#REF!</v>
      </c>
      <c r="R37" s="96" t="e">
        <f>SUM(#REF!)</f>
        <v>#REF!</v>
      </c>
      <c r="T37"/>
    </row>
    <row r="38" s="2" customFormat="1" ht="16.15" customHeight="1" spans="1:20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8"/>
      <c r="T38" s="72"/>
    </row>
    <row r="39" s="3" customFormat="1" ht="21.75" customHeight="1" spans="1:20">
      <c r="A39" s="99"/>
      <c r="B39" s="92" t="s">
        <v>30</v>
      </c>
      <c r="C39" s="100"/>
      <c r="D39" s="100"/>
      <c r="E39" s="100"/>
      <c r="F39" s="100"/>
      <c r="G39" s="100"/>
      <c r="H39" s="100"/>
      <c r="I39" s="100"/>
      <c r="J39" s="100"/>
      <c r="K39" s="101"/>
      <c r="T39"/>
    </row>
    <row r="40" s="2" customFormat="1" ht="16.15" customHeight="1" spans="1:20">
      <c r="A40" s="97"/>
      <c r="B40" s="102"/>
      <c r="C40" s="103"/>
      <c r="D40" s="103"/>
      <c r="E40" s="103"/>
      <c r="F40" s="104"/>
      <c r="G40" s="105" t="s">
        <v>16</v>
      </c>
      <c r="H40" s="48" t="s">
        <v>31</v>
      </c>
      <c r="I40" s="106" t="s">
        <v>32</v>
      </c>
      <c r="J40" s="107" t="s">
        <v>19</v>
      </c>
      <c r="K40" s="108" t="s">
        <v>20</v>
      </c>
      <c r="T40" s="72"/>
    </row>
    <row r="41" s="2" customFormat="1" ht="15.75" spans="1:20">
      <c r="A41" s="97"/>
      <c r="B41" s="109"/>
      <c r="C41" s="110"/>
      <c r="D41" s="110"/>
      <c r="E41" s="110"/>
      <c r="F41" s="111"/>
      <c r="G41" s="112"/>
      <c r="H41" s="64"/>
      <c r="I41" s="113" t="s">
        <v>31</v>
      </c>
      <c r="J41" s="114"/>
      <c r="K41" s="58" t="s">
        <v>33</v>
      </c>
      <c r="T41"/>
    </row>
    <row r="42" s="2" customFormat="1" ht="16.15" customHeight="1" spans="1:20">
      <c r="A42" s="97"/>
      <c r="B42" s="115" t="s">
        <v>34</v>
      </c>
      <c r="C42" s="116"/>
      <c r="D42" s="116"/>
      <c r="E42" s="116"/>
      <c r="F42" s="116"/>
      <c r="G42" s="116"/>
      <c r="H42" s="116"/>
      <c r="I42" s="117"/>
      <c r="J42" s="118">
        <v>0</v>
      </c>
      <c r="K42" s="119"/>
      <c r="T42" s="72"/>
    </row>
    <row r="43" s="2" customFormat="1" ht="16.15" customHeight="1" spans="1:20">
      <c r="A43" s="97"/>
      <c r="B43" s="120" t="s">
        <v>35</v>
      </c>
      <c r="C43" s="121"/>
      <c r="D43" s="121"/>
      <c r="E43" s="121"/>
      <c r="F43" s="122"/>
      <c r="G43" s="79">
        <f>SUM(C23:C36)</f>
        <v>0</v>
      </c>
      <c r="H43" s="123" t="s">
        <v>36</v>
      </c>
      <c r="I43" s="124">
        <v>190</v>
      </c>
      <c r="J43" s="82">
        <f>I43-I43*$J$42</f>
        <v>190</v>
      </c>
      <c r="K43" s="119">
        <f>G43*J43</f>
        <v>0</v>
      </c>
      <c r="T43"/>
    </row>
    <row r="44" s="2" customFormat="1" ht="16.15" customHeight="1" spans="1:20">
      <c r="A44" s="97"/>
      <c r="B44" s="120" t="s">
        <v>37</v>
      </c>
      <c r="C44" s="121"/>
      <c r="D44" s="121"/>
      <c r="E44" s="121"/>
      <c r="F44" s="122"/>
      <c r="G44" s="125">
        <f>SUM(L23:L36)</f>
        <v>0</v>
      </c>
      <c r="H44" s="123" t="s">
        <v>38</v>
      </c>
      <c r="I44" s="124">
        <v>1250</v>
      </c>
      <c r="J44" s="82">
        <f>I44-I44*$J$42</f>
        <v>1250</v>
      </c>
      <c r="K44" s="119">
        <f>G44*J44</f>
        <v>0</v>
      </c>
      <c r="T44"/>
    </row>
    <row r="45" s="2" customFormat="1" ht="16.15" customHeight="1" spans="1:20">
      <c r="A45" s="97"/>
      <c r="B45" s="126" t="s">
        <v>39</v>
      </c>
      <c r="C45" s="127"/>
      <c r="D45" s="127"/>
      <c r="E45" s="127"/>
      <c r="F45" s="128"/>
      <c r="G45" s="79">
        <f>G37</f>
        <v>0</v>
      </c>
      <c r="H45" s="123" t="s">
        <v>36</v>
      </c>
      <c r="I45" s="124">
        <v>6550</v>
      </c>
      <c r="J45" s="82">
        <f>I45-I45*$J$42</f>
        <v>6550</v>
      </c>
      <c r="K45" s="119">
        <f>G45*J45</f>
        <v>0</v>
      </c>
      <c r="T45"/>
    </row>
    <row r="46" s="2" customFormat="1" ht="16.15" customHeight="1" spans="1:20">
      <c r="A46" s="97"/>
      <c r="B46" s="115" t="s">
        <v>40</v>
      </c>
      <c r="C46" s="116"/>
      <c r="D46" s="116"/>
      <c r="E46" s="116"/>
      <c r="F46" s="116"/>
      <c r="G46" s="116"/>
      <c r="H46" s="116"/>
      <c r="I46" s="117"/>
      <c r="J46" s="129"/>
      <c r="K46" s="130"/>
    </row>
    <row r="47" s="2" customFormat="1" ht="16.15" customHeight="1" spans="1:20">
      <c r="A47" s="97"/>
      <c r="B47" s="131" t="s">
        <v>41</v>
      </c>
      <c r="C47" s="132"/>
      <c r="D47" s="132"/>
      <c r="E47" s="132"/>
      <c r="F47" s="132"/>
      <c r="G47" s="79">
        <v>1</v>
      </c>
      <c r="H47" s="133" t="s">
        <v>36</v>
      </c>
      <c r="I47" s="134">
        <v>0</v>
      </c>
      <c r="J47" s="135">
        <f>I47</f>
        <v>0</v>
      </c>
      <c r="K47" s="136">
        <f>G47*J47</f>
        <v>0</v>
      </c>
    </row>
    <row r="48" s="2" customFormat="1" ht="16.15" customHeight="1" spans="1:20">
      <c r="A48" s="97"/>
      <c r="B48" s="131" t="s">
        <v>42</v>
      </c>
      <c r="C48" s="132"/>
      <c r="D48" s="132"/>
      <c r="E48" s="132"/>
      <c r="F48" s="132"/>
      <c r="G48" s="79">
        <f>G37</f>
        <v>0</v>
      </c>
      <c r="H48" s="133" t="s">
        <v>36</v>
      </c>
      <c r="I48" s="134">
        <v>1400</v>
      </c>
      <c r="J48" s="135">
        <f>I48</f>
        <v>1400</v>
      </c>
      <c r="K48" s="136">
        <f>G48*J48</f>
        <v>0</v>
      </c>
    </row>
    <row r="49" s="2" customFormat="1" ht="21" customHeight="1" spans="1:12">
      <c r="A49" s="97"/>
      <c r="B49" s="137"/>
      <c r="C49" s="138"/>
      <c r="D49" s="138"/>
      <c r="E49" s="138"/>
      <c r="F49" s="138"/>
      <c r="G49" s="138"/>
      <c r="H49" s="138"/>
      <c r="I49" s="139" t="s">
        <v>43</v>
      </c>
      <c r="J49" s="140"/>
      <c r="K49" s="141">
        <f>SUM(K42:K48)</f>
        <v>0</v>
      </c>
    </row>
    <row r="50" s="2" customFormat="1" ht="4.5" customHeight="1" spans="1:12">
      <c r="A50" s="97"/>
      <c r="B50" s="33"/>
      <c r="C50" s="142"/>
      <c r="D50" s="142"/>
      <c r="E50" s="142"/>
      <c r="F50" s="142"/>
      <c r="G50" s="142"/>
      <c r="H50" s="142"/>
      <c r="I50" s="143"/>
      <c r="J50" s="144"/>
      <c r="K50" s="145"/>
    </row>
    <row r="51" s="2" customFormat="1" ht="21" customHeight="1" spans="1:12">
      <c r="A51" s="97"/>
      <c r="B51" s="146" t="s">
        <v>44</v>
      </c>
      <c r="C51" s="142"/>
      <c r="D51" s="142"/>
      <c r="E51" s="142"/>
      <c r="F51" s="142"/>
      <c r="G51" s="142"/>
      <c r="H51" s="147" t="s">
        <v>45</v>
      </c>
      <c r="I51" s="148"/>
      <c r="J51" s="149"/>
      <c r="K51" s="150">
        <f>K37+K49</f>
        <v>0</v>
      </c>
    </row>
    <row r="52" s="2" customFormat="1" ht="17.25" customHeight="1" spans="1:12">
      <c r="A52" s="97"/>
      <c r="B52" s="146"/>
      <c r="C52" s="142"/>
      <c r="D52" s="142"/>
      <c r="E52" s="142"/>
      <c r="F52" s="142"/>
      <c r="G52" s="142"/>
      <c r="H52" s="151" t="s">
        <v>46</v>
      </c>
      <c r="I52" s="152">
        <v>0.12</v>
      </c>
      <c r="J52" s="153"/>
      <c r="K52" s="154">
        <f>SUM(K51:K51)*I52</f>
        <v>0</v>
      </c>
    </row>
    <row r="53" s="2" customFormat="1" ht="30.75" customHeight="1" spans="1:12">
      <c r="A53" s="97"/>
      <c r="B53" s="155"/>
      <c r="C53" s="142"/>
      <c r="D53" s="142"/>
      <c r="E53" s="142"/>
      <c r="F53" s="142"/>
      <c r="G53" s="142"/>
      <c r="H53" s="156" t="s">
        <v>47</v>
      </c>
      <c r="I53" s="157"/>
      <c r="J53" s="158"/>
      <c r="K53" s="159">
        <f>SUM(K51:K52)</f>
        <v>0</v>
      </c>
    </row>
    <row r="54" s="2" customFormat="1" ht="30.75" customHeight="1" spans="1:12">
      <c r="A54" s="97"/>
      <c r="B54" s="155"/>
      <c r="C54" s="142"/>
      <c r="D54" s="142"/>
      <c r="E54" s="142"/>
      <c r="F54" s="142"/>
      <c r="G54" s="142"/>
      <c r="H54" s="160"/>
      <c r="I54" s="161"/>
      <c r="J54" s="162"/>
      <c r="K54" s="163"/>
    </row>
    <row r="55" s="2" customFormat="1" ht="13.5" customHeight="1" spans="1:12">
      <c r="A55" s="71"/>
      <c r="B55" s="164"/>
      <c r="C55" s="71"/>
      <c r="D55" s="71"/>
      <c r="E55" s="71"/>
      <c r="F55" s="71"/>
      <c r="G55" s="71"/>
      <c r="H55" s="71"/>
      <c r="I55" s="165"/>
      <c r="J55" s="166"/>
      <c r="K55" s="167"/>
    </row>
    <row r="56" s="2" customFormat="1" ht="15.75" spans="1:12">
      <c r="A56" s="168"/>
      <c r="B56" s="169" t="s">
        <v>48</v>
      </c>
      <c r="D56" s="40" t="s">
        <v>49</v>
      </c>
      <c r="E56" s="40" t="s">
        <v>50</v>
      </c>
      <c r="F56" s="71"/>
      <c r="G56" s="71"/>
      <c r="H56" s="71"/>
      <c r="I56" s="71"/>
      <c r="K56" s="170"/>
      <c r="L56" s="167"/>
    </row>
    <row r="57" s="2" customFormat="1" ht="15.75" spans="1:12">
      <c r="A57" s="168"/>
      <c r="B57" s="169" t="s">
        <v>51</v>
      </c>
      <c r="E57" s="40" t="s">
        <v>52</v>
      </c>
      <c r="F57" s="71"/>
      <c r="G57" s="71"/>
      <c r="H57" s="71"/>
      <c r="I57" s="165"/>
      <c r="J57" s="166"/>
      <c r="K57" s="167"/>
    </row>
    <row r="58" ht="16.15" customHeight="1" spans="1:12">
      <c r="A58" s="28"/>
      <c r="B58" s="169" t="s">
        <v>53</v>
      </c>
      <c r="C58" s="28"/>
      <c r="D58" s="28"/>
      <c r="E58" s="40" t="s">
        <v>54</v>
      </c>
      <c r="F58" s="28"/>
      <c r="G58" s="28"/>
      <c r="H58" s="28"/>
      <c r="I58" s="28"/>
      <c r="J58" s="28"/>
      <c r="K58" s="171"/>
    </row>
    <row r="59" s="2" customFormat="1" ht="16.5" customHeight="1" spans="1:12">
      <c r="A59" s="172"/>
      <c r="B59" s="172"/>
      <c r="C59" s="173"/>
      <c r="D59" s="173"/>
      <c r="E59" s="172"/>
      <c r="F59" s="173"/>
      <c r="G59" s="174"/>
      <c r="L59" s="175"/>
    </row>
    <row r="60" s="2" customFormat="1" ht="15" customHeight="1" spans="1:12">
      <c r="A60" s="176"/>
      <c r="B60" s="177"/>
      <c r="C60" s="173"/>
      <c r="D60" s="173"/>
      <c r="E60" s="177"/>
      <c r="F60" s="178"/>
      <c r="G60" s="178"/>
      <c r="L60" s="175"/>
    </row>
    <row r="61" s="2" customFormat="1" ht="15" customHeight="1" spans="1:12">
      <c r="A61" s="179"/>
      <c r="B61" s="177"/>
      <c r="C61" s="173"/>
      <c r="D61" s="173"/>
      <c r="E61" s="177"/>
      <c r="F61" s="180"/>
      <c r="G61" s="181"/>
      <c r="H61" s="173"/>
      <c r="K61" s="182"/>
      <c r="L61" s="175"/>
    </row>
    <row r="62" s="2" customFormat="1" ht="15.75" spans="1:12">
      <c r="K62" s="43"/>
    </row>
    <row r="63" spans="1:12">
      <c r="C63" s="28"/>
      <c r="D63" s="28"/>
      <c r="E63" s="28"/>
    </row>
    <row r="64" spans="1:12">
      <c r="C64" s="28"/>
      <c r="D64" s="28"/>
      <c r="E64" s="28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  <row r="334" spans="3:5">
      <c r="C334" s="28"/>
      <c r="D334" s="28"/>
      <c r="E334" s="28"/>
    </row>
    <row r="335" spans="3:5">
      <c r="C335" s="28"/>
      <c r="D335" s="28"/>
      <c r="E335" s="28"/>
    </row>
    <row r="336" spans="3:5">
      <c r="C336" s="28"/>
      <c r="D336" s="28"/>
      <c r="E336" s="28"/>
    </row>
    <row r="337" spans="3:5">
      <c r="C337" s="28"/>
      <c r="D337" s="28"/>
      <c r="E337" s="28"/>
    </row>
    <row r="338" spans="3:5">
      <c r="C338" s="28"/>
      <c r="D338" s="28"/>
      <c r="E338" s="28"/>
    </row>
  </sheetData>
  <mergeCells count="23">
    <mergeCell ref="C21:D21"/>
    <mergeCell ref="E21:F21"/>
    <mergeCell ref="N21:O21"/>
    <mergeCell ref="Q21:R21"/>
    <mergeCell ref="L22:M22"/>
    <mergeCell ref="C37:D37"/>
    <mergeCell ref="E37:F37"/>
    <mergeCell ref="I37:J37"/>
    <mergeCell ref="B39:K39"/>
    <mergeCell ref="B42:I42"/>
    <mergeCell ref="B45:F45"/>
    <mergeCell ref="B46:I46"/>
    <mergeCell ref="I49:J49"/>
    <mergeCell ref="A21:A22"/>
    <mergeCell ref="G21:G22"/>
    <mergeCell ref="G40:G41"/>
    <mergeCell ref="H21:H22"/>
    <mergeCell ref="H40:H41"/>
    <mergeCell ref="I21:I22"/>
    <mergeCell ref="J40:J41"/>
    <mergeCell ref="K21:K22"/>
    <mergeCell ref="K40:K41"/>
    <mergeCell ref="B40:F41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2010-02-12T08:06:00Z</dcterms:created>
  <cp:lastPrinted>2023-04-03T15:45:00Z</cp:lastPrinted>
  <dcterms:modified xsi:type="dcterms:W3CDTF">2026-10-30T12:17:06Z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4EF563B7890A4BC9A987808C77C3B6BF_13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