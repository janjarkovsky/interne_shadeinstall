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venkovní žaluzie" sheetId="3" r:id="rId1"/>
  </sheets>
  <definedNames>
    <definedName name="_xlnm.Print_Area" localSheetId="0">'venkovní žaluzie'!$A$1:$K$58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<sst xmlns="http://schemas.openxmlformats.org/spreadsheetml/2006/main" count="60" uniqueCount="51">
  <si>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</si>
  <si>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</si>
  <si>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</si>
  <si>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</si>
  <si>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</si>
  <si>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</si>
  <si>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</si>
  <si>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manuální - zalamovací klikou v interiéru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</si>
  <si>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</si>
  <si>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</si>
  <si>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stříbrný elox (RAL za příplatek)</t>
  </si>
  <si>
    <t>Poznámka: v případě nutnosti montáže z interiéru ve vyšších patrech bude účtován příplatek 450,- bez DPH/ks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</si>
  <si>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</si>
  <si>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</si>
  <si>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</si>
  <si>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</si>
  <si>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</si>
  <si>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</si>
  <si>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</si>
  <si>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</si>
  <si>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</si>
  <si>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</si>
  <si>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</si>
  <si>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</si>
  <si>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</si>
  <si>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</si>
  <si>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</si>
  <si>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</si>
  <si>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</si>
  <si>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</si>
  <si>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</si>
  <si>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</si>
  <si>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</si>
  <si>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</si>
  <si>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</si>
  <si>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Krycí plechy vnější</t>
  </si>
  <si>
    <t>bm</t>
  </si>
  <si>
    <t>Montáž + doprava</t>
  </si>
  <si>
    <t>Doprava (1x zaměření 1x montáž)</t>
  </si>
  <si>
    <t xml:space="preserve">Montáž </t>
  </si>
  <si>
    <t>Příplatky celkem :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</si>
  <si>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</si>
  <si>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</si>
  <si>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</si>
  <si>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</si>
  <si>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</si>
  <si>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</si>
  <si>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</si>
  <si>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 xml:space="preserve">3 roky 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</si>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</sst>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1">
    <font>
      <sz val="10"/>
      <name val="Arial CE"/>
      <family val="2"/>
      <charset val="238"/>
    </font>
    <font>
      <sz val="12"/>
      <name val="Times New Roman CE"/>
      <family val="2"/>
      <charset val="238"/>
    </font>
    <font>
      <sz val="10"/>
      <name val="Times New Roman CE"/>
      <family val="2"/>
      <charset val="238"/>
    </font>
    <font>
      <b/>
      <sz val="10"/>
      <color indexed="12"/>
      <name val="Times New Roman CE"/>
      <family val="2"/>
      <charset val="238"/>
    </font>
    <font>
      <b/>
      <sz val="9"/>
      <color indexed="12"/>
      <name val="Times New Roman CE"/>
      <family val="2"/>
      <charset val="238"/>
    </font>
    <font>
      <sz val="10"/>
      <color indexed="12"/>
      <name val="Times New Roman CE"/>
      <family val="2"/>
      <charset val="238"/>
    </font>
    <font>
      <sz val="9"/>
      <color indexed="12"/>
      <name val="Times New Roman CE"/>
      <family val="2"/>
      <charset val="238"/>
    </font>
    <font>
      <b/>
      <sz val="12"/>
      <name val="Times New Roman CE"/>
      <family val="2"/>
      <charset val="238"/>
    </font>
    <font>
      <sz val="12"/>
      <name val="Arial CE"/>
      <family val="2"/>
      <charset val="238"/>
    </font>
    <font>
      <b/>
      <sz val="12"/>
      <color rgb="FFFF0000"/>
      <name val="Times New Roman CE"/>
      <family val="2"/>
      <charset val="238"/>
    </font>
    <font>
      <u/>
      <sz val="10"/>
      <color theme="10"/>
      <name val="Arial CE"/>
      <family val="2"/>
      <charset val="238"/>
    </font>
    <font>
      <b/>
      <sz val="10"/>
      <name val="Times New Roman CE"/>
      <family val="2"/>
      <charset val="238"/>
    </font>
    <font>
      <b/>
      <sz val="11"/>
      <color rgb="FF30A9C6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5F8E"/>
      <name val="Arial"/>
      <family val="2"/>
      <charset val="238"/>
    </font>
    <font>
      <b/>
      <sz val="10"/>
      <name val="Arial CE"/>
      <family val="2"/>
      <charset val="238"/>
    </font>
    <font>
      <b/>
      <sz val="12"/>
      <color theme="1"/>
      <name val="Times New Roman CE"/>
      <family val="2"/>
      <charset val="238"/>
    </font>
    <font>
      <sz val="11"/>
      <name val="Arial"/>
      <family val="2"/>
      <charset val="238"/>
    </font>
    <font>
      <i/>
      <sz val="12"/>
      <name val="Times New Roman CE"/>
      <family val="2"/>
      <charset val="238"/>
    </font>
    <font>
      <u/>
      <sz val="12"/>
      <color indexed="48"/>
      <name val="Times New Roman CE"/>
      <family val="2"/>
      <charset val="238"/>
    </font>
    <font>
      <b/>
      <sz val="9"/>
      <color rgb="FFFF0000"/>
      <name val="Arial"/>
      <family val="2"/>
      <charset val="238"/>
    </font>
    <font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b/>
      <i/>
      <sz val="10"/>
      <name val="Times New Roman CE"/>
      <family val="2"/>
      <charset val="238"/>
    </font>
    <font>
      <b/>
      <i/>
      <sz val="7"/>
      <name val="Arial"/>
      <family val="2"/>
      <charset val="238"/>
    </font>
    <font>
      <sz val="12"/>
      <color theme="0"/>
      <name val="Times New Roman CE"/>
      <family val="2"/>
      <charset val="238"/>
    </font>
    <font>
      <sz val="12"/>
      <name val="Times New Roman"/>
      <family val="1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2"/>
      <color rgb="FFFF0000"/>
      <name val="Times New Roman CE"/>
      <family val="2"/>
      <charset val="238"/>
    </font>
    <font>
      <sz val="11"/>
      <name val="Times New Roman CE"/>
      <family val="2"/>
      <charset val="238"/>
    </font>
    <font>
      <u/>
      <sz val="10"/>
      <color theme="11"/>
      <name val="Arial CE"/>
      <family val="2"/>
      <charset val="238"/>
    </font>
    <font>
      <sz val="11"/>
      <color rgb="FFFF0000"/>
      <name val="Calibri"/>
      <family val="2"/>
      <charset val="238"/>
      <scheme val="minor"/>
    </font>
    <font>
      <b/>
      <sz val="18"/>
      <color theme="3"/>
      <name val="Cambria"/>
      <family val="1"/>
      <charset val="238"/>
      <scheme val="major"/>
    </font>
    <font>
      <i/>
      <sz val="11"/>
      <color rgb="FF7F7F7F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0" fillId="4" borderId="31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32" applyNumberFormat="0" applyFill="0" applyAlignment="0" applyProtection="0"/>
    <xf numFmtId="0" fontId="38" fillId="0" borderId="33" applyNumberFormat="0" applyFill="0" applyAlignment="0" applyProtection="0"/>
    <xf numFmtId="0" fontId="39" fillId="0" borderId="34" applyNumberFormat="0" applyFill="0" applyAlignment="0" applyProtection="0"/>
    <xf numFmtId="0" fontId="39" fillId="0" borderId="0" applyNumberFormat="0" applyFill="0" applyBorder="0" applyAlignment="0" applyProtection="0"/>
    <xf numFmtId="0" fontId="40" fillId="5" borderId="35" applyNumberFormat="0" applyAlignment="0" applyProtection="0"/>
    <xf numFmtId="0" fontId="41" fillId="6" borderId="36" applyNumberFormat="0" applyAlignment="0" applyProtection="0"/>
    <xf numFmtId="0" fontId="42" fillId="6" borderId="35" applyNumberFormat="0" applyAlignment="0" applyProtection="0"/>
    <xf numFmtId="0" fontId="43" fillId="7" borderId="37" applyNumberFormat="0" applyAlignment="0" applyProtection="0"/>
    <xf numFmtId="0" fontId="44" fillId="0" borderId="38" applyNumberFormat="0" applyFill="0" applyAlignment="0" applyProtection="0"/>
    <xf numFmtId="0" fontId="45" fillId="0" borderId="39" applyNumberFormat="0" applyFill="0" applyAlignment="0" applyProtection="0"/>
    <xf numFmtId="0" fontId="46" fillId="8" borderId="0" applyNumberFormat="0" applyBorder="0" applyAlignment="0" applyProtection="0"/>
    <xf numFmtId="0" fontId="47" fillId="9" borderId="0" applyNumberFormat="0" applyBorder="0" applyAlignment="0" applyProtection="0"/>
    <xf numFmtId="0" fontId="48" fillId="10" borderId="0" applyNumberFormat="0" applyBorder="0" applyAlignment="0" applyProtection="0"/>
    <xf numFmtId="0" fontId="49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3" borderId="0" applyNumberFormat="0" applyBorder="0" applyAlignment="0" applyProtection="0"/>
    <xf numFmtId="0" fontId="49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0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1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 applyAlignment="1">
      <alignment horizontal="center"/>
    </xf>
    <xf numFmtId="181" fontId="15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4" fillId="0" borderId="0" xfId="0" applyFont="1" applyBorder="1" applyAlignment="1"/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9" fontId="13" fillId="2" borderId="6" xfId="0" applyNumberFormat="1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" fillId="0" borderId="0" xfId="0" applyFont="1" applyBorder="1"/>
    <xf numFmtId="0" fontId="27" fillId="0" borderId="0" xfId="0" applyFont="1"/>
    <xf numFmtId="0" fontId="17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" fontId="28" fillId="0" borderId="13" xfId="0" applyNumberFormat="1" applyFont="1" applyBorder="1" applyAlignment="1">
      <alignment horizontal="center" vertical="center"/>
    </xf>
    <xf numFmtId="182" fontId="23" fillId="0" borderId="14" xfId="0" applyNumberFormat="1" applyFont="1" applyBorder="1" applyAlignment="1">
      <alignment horizontal="center" vertical="center"/>
    </xf>
    <xf numFmtId="182" fontId="17" fillId="0" borderId="13" xfId="0" applyNumberFormat="1" applyFont="1" applyBorder="1" applyAlignment="1">
      <alignment horizontal="center" vertical="center"/>
    </xf>
    <xf numFmtId="182" fontId="17" fillId="0" borderId="15" xfId="0" applyNumberFormat="1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3" fontId="17" fillId="0" borderId="12" xfId="0" applyNumberFormat="1" applyFont="1" applyFill="1" applyBorder="1" applyAlignment="1">
      <alignment horizontal="center" vertical="center"/>
    </xf>
    <xf numFmtId="183" fontId="17" fillId="2" borderId="12" xfId="0" applyNumberFormat="1" applyFont="1" applyFill="1" applyBorder="1" applyAlignment="1">
      <alignment horizontal="center" vertical="center"/>
    </xf>
    <xf numFmtId="183" fontId="17" fillId="0" borderId="15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" fontId="17" fillId="0" borderId="19" xfId="0" applyNumberFormat="1" applyFont="1" applyBorder="1" applyAlignment="1">
      <alignment horizontal="center" vertical="center"/>
    </xf>
    <xf numFmtId="2" fontId="17" fillId="0" borderId="19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83" fontId="29" fillId="0" borderId="18" xfId="0" applyNumberFormat="1" applyFont="1" applyBorder="1" applyAlignment="1">
      <alignment horizontal="right" vertical="center"/>
    </xf>
    <xf numFmtId="0" fontId="31" fillId="0" borderId="0" xfId="0" applyFont="1" applyBorder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7" fillId="0" borderId="6" xfId="0" applyFont="1" applyBorder="1" applyAlignment="1">
      <alignment horizontal="center"/>
    </xf>
    <xf numFmtId="183" fontId="13" fillId="0" borderId="8" xfId="0" applyNumberFormat="1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/>
    </xf>
    <xf numFmtId="1" fontId="13" fillId="0" borderId="16" xfId="0" applyNumberFormat="1" applyFont="1" applyBorder="1" applyAlignment="1">
      <alignment horizontal="left"/>
    </xf>
    <xf numFmtId="1" fontId="13" fillId="0" borderId="17" xfId="0" applyNumberFormat="1" applyFont="1" applyBorder="1" applyAlignment="1">
      <alignment horizontal="left"/>
    </xf>
    <xf numFmtId="1" fontId="13" fillId="0" borderId="18" xfId="0" applyNumberFormat="1" applyFont="1" applyBorder="1" applyAlignment="1">
      <alignment horizontal="left"/>
    </xf>
    <xf numFmtId="9" fontId="13" fillId="2" borderId="19" xfId="0" applyNumberFormat="1" applyFont="1" applyFill="1" applyBorder="1" applyAlignment="1">
      <alignment horizontal="center"/>
    </xf>
    <xf numFmtId="183" fontId="17" fillId="0" borderId="15" xfId="0" applyNumberFormat="1" applyFont="1" applyFill="1" applyBorder="1" applyAlignment="1">
      <alignment horizontal="right" vertical="center"/>
    </xf>
    <xf numFmtId="0" fontId="17" fillId="0" borderId="24" xfId="0" applyFont="1" applyBorder="1" applyAlignment="1">
      <alignment horizontal="left"/>
    </xf>
    <xf numFmtId="182" fontId="17" fillId="0" borderId="25" xfId="0" applyNumberFormat="1" applyFont="1" applyBorder="1" applyAlignment="1">
      <alignment horizontal="center"/>
    </xf>
    <xf numFmtId="182" fontId="17" fillId="0" borderId="15" xfId="0" applyNumberFormat="1" applyFont="1" applyBorder="1" applyAlignment="1">
      <alignment horizontal="center"/>
    </xf>
    <xf numFmtId="1" fontId="17" fillId="0" borderId="12" xfId="0" applyNumberFormat="1" applyFont="1" applyBorder="1" applyAlignment="1">
      <alignment horizontal="center"/>
    </xf>
    <xf numFmtId="3" fontId="17" fillId="0" borderId="12" xfId="0" applyNumberFormat="1" applyFont="1" applyFill="1" applyBorder="1" applyAlignment="1">
      <alignment horizontal="center"/>
    </xf>
    <xf numFmtId="182" fontId="17" fillId="0" borderId="12" xfId="0" applyNumberFormat="1" applyFont="1" applyBorder="1" applyAlignment="1">
      <alignment horizontal="center" vertical="center"/>
    </xf>
    <xf numFmtId="9" fontId="13" fillId="0" borderId="19" xfId="0" applyNumberFormat="1" applyFont="1" applyFill="1" applyBorder="1" applyAlignment="1">
      <alignment horizontal="center"/>
    </xf>
    <xf numFmtId="183" fontId="17" fillId="0" borderId="18" xfId="0" applyNumberFormat="1" applyFont="1" applyFill="1" applyBorder="1" applyAlignment="1">
      <alignment horizontal="right" vertical="center"/>
    </xf>
    <xf numFmtId="0" fontId="17" fillId="0" borderId="26" xfId="0" applyFont="1" applyBorder="1" applyAlignment="1">
      <alignment horizontal="left"/>
    </xf>
    <xf numFmtId="182" fontId="17" fillId="0" borderId="27" xfId="0" applyNumberFormat="1" applyFont="1" applyBorder="1" applyAlignment="1">
      <alignment horizontal="center"/>
    </xf>
    <xf numFmtId="1" fontId="17" fillId="0" borderId="28" xfId="0" applyNumberFormat="1" applyFont="1" applyBorder="1" applyAlignment="1">
      <alignment horizontal="center"/>
    </xf>
    <xf numFmtId="3" fontId="17" fillId="0" borderId="28" xfId="0" applyNumberFormat="1" applyFont="1" applyFill="1" applyBorder="1" applyAlignment="1">
      <alignment horizontal="center"/>
    </xf>
    <xf numFmtId="183" fontId="17" fillId="0" borderId="28" xfId="0" applyNumberFormat="1" applyFont="1" applyFill="1" applyBorder="1" applyAlignment="1">
      <alignment horizontal="center" vertical="center"/>
    </xf>
    <xf numFmtId="183" fontId="17" fillId="0" borderId="29" xfId="0" applyNumberFormat="1" applyFont="1" applyFill="1" applyBorder="1" applyAlignment="1">
      <alignment horizontal="right" vertical="center"/>
    </xf>
    <xf numFmtId="0" fontId="13" fillId="0" borderId="16" xfId="0" applyFont="1" applyBorder="1"/>
    <xf numFmtId="0" fontId="17" fillId="0" borderId="17" xfId="0" applyFont="1" applyBorder="1"/>
    <xf numFmtId="0" fontId="13" fillId="0" borderId="17" xfId="0" applyFont="1" applyBorder="1" applyAlignment="1">
      <alignment horizontal="right" vertical="center"/>
    </xf>
    <xf numFmtId="0" fontId="17" fillId="0" borderId="17" xfId="0" applyFont="1" applyBorder="1" applyAlignment="1">
      <alignment horizontal="right" vertical="center"/>
    </xf>
    <xf numFmtId="183" fontId="13" fillId="0" borderId="18" xfId="0" applyNumberFormat="1" applyFont="1" applyBorder="1" applyAlignment="1">
      <alignment horizontal="right" vertical="center"/>
    </xf>
    <xf numFmtId="0" fontId="17" fillId="0" borderId="0" xfId="0" applyFont="1" applyBorder="1"/>
    <xf numFmtId="0" fontId="13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83" fontId="13" fillId="0" borderId="0" xfId="0" applyNumberFormat="1" applyFont="1" applyBorder="1" applyAlignment="1">
      <alignment horizontal="right" vertical="center"/>
    </xf>
    <xf numFmtId="0" fontId="17" fillId="0" borderId="0" xfId="0" applyFont="1"/>
    <xf numFmtId="0" fontId="13" fillId="0" borderId="2" xfId="0" applyFont="1" applyBorder="1" applyAlignment="1">
      <alignment horizontal="left" vertical="center"/>
    </xf>
    <xf numFmtId="0" fontId="17" fillId="0" borderId="30" xfId="0" applyFont="1" applyBorder="1"/>
    <xf numFmtId="0" fontId="17" fillId="0" borderId="30" xfId="0" applyFont="1" applyBorder="1" applyAlignment="1">
      <alignment horizontal="right" vertical="center"/>
    </xf>
    <xf numFmtId="183" fontId="13" fillId="0" borderId="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left" vertical="center"/>
    </xf>
    <xf numFmtId="9" fontId="17" fillId="0" borderId="25" xfId="0" applyNumberFormat="1" applyFont="1" applyBorder="1" applyAlignment="1">
      <alignment horizontal="center" vertical="center"/>
    </xf>
    <xf numFmtId="10" fontId="17" fillId="0" borderId="25" xfId="0" applyNumberFormat="1" applyFont="1" applyBorder="1" applyAlignment="1">
      <alignment horizontal="left" vertical="center"/>
    </xf>
    <xf numFmtId="184" fontId="13" fillId="0" borderId="15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right" vertical="center"/>
    </xf>
    <xf numFmtId="0" fontId="17" fillId="2" borderId="11" xfId="0" applyFont="1" applyFill="1" applyBorder="1"/>
    <xf numFmtId="183" fontId="13" fillId="2" borderId="8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0" fontId="17" fillId="0" borderId="0" xfId="0" applyFont="1" applyFill="1" applyBorder="1"/>
    <xf numFmtId="183" fontId="13" fillId="0" borderId="0" xfId="0" applyNumberFormat="1" applyFont="1" applyFill="1" applyBorder="1" applyAlignment="1">
      <alignment horizontal="right" vertical="center"/>
    </xf>
    <xf numFmtId="0" fontId="32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2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/>
    <xf numFmtId="3" fontId="27" fillId="3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left"/>
    </xf>
    <xf numFmtId="3" fontId="10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27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643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50</xdr:row>
      <xdr:rowOff>76200</xdr:rowOff>
    </xdr:from>
    <xdr:to>
      <xdr:col>10</xdr:col>
      <xdr:colOff>1078230</xdr:colOff>
      <xdr:row>53</xdr:row>
      <xdr:rowOff>48260</xdr:rowOff>
    </xdr:to>
    <xdr:pic>
      <xdr:nvPicPr>
        <xdr:cNvPr id="1644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037717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236855</xdr:colOff>
      <xdr:row>46</xdr:row>
      <xdr:rowOff>85725</xdr:rowOff>
    </xdr:from>
    <xdr:to>
      <xdr:col>5</xdr:col>
      <xdr:colOff>0</xdr:colOff>
      <xdr:row>49</xdr:row>
      <xdr:rowOff>94615</xdr:rowOff>
    </xdr:to>
    <xdr:pic>
      <xdr:nvPicPr>
        <xdr:cNvPr id="1645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0395" y="9119870"/>
          <a:ext cx="1656715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54</xdr:row>
      <xdr:rowOff>180975</xdr:rowOff>
    </xdr:from>
    <xdr:to>
      <xdr:col>11</xdr:col>
      <xdr:colOff>24765</xdr:colOff>
      <xdr:row>58</xdr:row>
      <xdr:rowOff>19050</xdr:rowOff>
    </xdr:to>
    <xdr:pic>
      <xdr:nvPicPr>
        <xdr:cNvPr id="1646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125855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33"/>
  <sheetViews>
    <sheetView showGridLines="0" tabSelected="1" zoomScaleSheetLayoutView="60" workbookViewId="0">
      <selection activeCell="T10" sqref="T10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K12" s="43"/>
      <c r="L12" s="44"/>
    </row>
    <row r="13" s="1" customFormat="1" ht="16.5" customHeight="1" spans="1:12">
      <c r="A13" s="37"/>
      <c r="D13" s="45"/>
      <c r="E13" s="40" t="s">
        <v>8</v>
      </c>
      <c r="F13" s="46"/>
      <c r="J13" s="42"/>
    </row>
    <row r="14" s="1" customFormat="1" ht="16.5" customHeight="1" spans="1:12">
      <c r="A14" s="37"/>
      <c r="D14" s="45"/>
      <c r="E14" s="40" t="s">
        <v>9</v>
      </c>
      <c r="F14" s="46"/>
      <c r="J14" s="42"/>
    </row>
    <row r="15" s="1" customFormat="1" ht="16.5" customHeight="1" spans="1:12">
      <c r="A15" s="37"/>
      <c r="D15" s="45"/>
      <c r="E15" s="40" t="s">
        <v>10</v>
      </c>
      <c r="F15" s="46"/>
      <c r="J15" s="42"/>
    </row>
    <row r="16" s="1" customFormat="1" ht="9.75" customHeight="1" spans="1:12">
      <c r="A16" s="37"/>
      <c r="D16" s="45"/>
      <c r="E16" s="40"/>
      <c r="F16" s="46"/>
      <c r="J16" s="42"/>
    </row>
    <row r="17" s="1" customFormat="1" ht="16.5" customHeight="1" spans="1:20">
      <c r="A17" s="47" t="s">
        <v>11</v>
      </c>
      <c r="D17" s="45"/>
      <c r="E17" s="40"/>
      <c r="F17" s="46"/>
      <c r="J17" s="42"/>
    </row>
    <row r="18" s="2" customFormat="1" ht="15" customHeight="1" spans="1:20">
      <c r="A18" s="48" t="s">
        <v>12</v>
      </c>
      <c r="B18" s="49" t="s">
        <v>13</v>
      </c>
      <c r="C18" s="50"/>
      <c r="D18" s="51"/>
      <c r="E18" s="52"/>
      <c r="F18" s="53"/>
      <c r="G18" s="48" t="s">
        <v>14</v>
      </c>
      <c r="H18" s="48" t="s">
        <v>15</v>
      </c>
      <c r="I18" s="48" t="s">
        <v>16</v>
      </c>
      <c r="J18" s="54" t="s">
        <v>17</v>
      </c>
      <c r="K18" s="48" t="s">
        <v>18</v>
      </c>
      <c r="M18" s="55"/>
      <c r="N18" s="56"/>
      <c r="O18" s="57"/>
      <c r="Q18" s="56"/>
      <c r="R18" s="57"/>
    </row>
    <row r="19" s="2" customFormat="1" ht="15" customHeight="1" spans="1:20">
      <c r="A19" s="58"/>
      <c r="B19" s="59" t="s">
        <v>19</v>
      </c>
      <c r="C19" s="60" t="s">
        <v>13</v>
      </c>
      <c r="D19" s="61" t="s">
        <v>20</v>
      </c>
      <c r="E19" s="62" t="s">
        <v>21</v>
      </c>
      <c r="F19" s="63" t="s">
        <v>22</v>
      </c>
      <c r="G19" s="58"/>
      <c r="H19" s="64"/>
      <c r="I19" s="58"/>
      <c r="J19" s="65">
        <v>0</v>
      </c>
      <c r="K19" s="58"/>
      <c r="L19" s="66" t="s">
        <v>23</v>
      </c>
      <c r="M19" s="66"/>
      <c r="N19" s="67" t="s">
        <v>24</v>
      </c>
      <c r="O19" s="68" t="s">
        <v>25</v>
      </c>
      <c r="Q19" s="69" t="s">
        <v>24</v>
      </c>
      <c r="R19" s="70" t="s">
        <v>25</v>
      </c>
      <c r="S19" s="71"/>
      <c r="T19" s="72"/>
    </row>
    <row r="20" s="2" customFormat="1" ht="15" customHeight="1" spans="1:20">
      <c r="A20" s="73">
        <v>1</v>
      </c>
      <c r="B20" s="74">
        <v>0</v>
      </c>
      <c r="C20" s="75">
        <f>B20*G20</f>
        <v>0</v>
      </c>
      <c r="D20" s="76"/>
      <c r="E20" s="77"/>
      <c r="F20" s="78"/>
      <c r="G20" s="79">
        <v>0</v>
      </c>
      <c r="H20" s="80">
        <f>(E20*F20*G20)*0.0001</f>
        <v>0</v>
      </c>
      <c r="I20" s="81"/>
      <c r="J20" s="82">
        <f>I20-I20*$J$19</f>
        <v>0</v>
      </c>
      <c r="K20" s="83">
        <f t="shared" ref="K20:K33" si="0">G20*J20</f>
        <v>0</v>
      </c>
      <c r="L20" s="66">
        <f>E20*G20/100</f>
        <v>0</v>
      </c>
      <c r="M20" s="66">
        <f>(F20*G20)/100*2</f>
        <v>0</v>
      </c>
      <c r="N20" s="84"/>
      <c r="O20" s="85"/>
      <c r="Q20" s="84"/>
      <c r="R20" s="85"/>
      <c r="S20" s="71"/>
      <c r="T20" s="72"/>
    </row>
    <row r="21" s="2" customFormat="1" ht="15" customHeight="1" spans="1:20">
      <c r="A21" s="73">
        <v>2</v>
      </c>
      <c r="B21" s="74">
        <v>0</v>
      </c>
      <c r="C21" s="75">
        <f t="shared" ref="C21:C33" si="1">B21*G21</f>
        <v>0</v>
      </c>
      <c r="D21" s="76"/>
      <c r="E21" s="77"/>
      <c r="F21" s="78"/>
      <c r="G21" s="79">
        <v>0</v>
      </c>
      <c r="H21" s="80">
        <f t="shared" ref="H21:H33" si="2">(E21*F21*G21)*0.0001</f>
        <v>0</v>
      </c>
      <c r="I21" s="81"/>
      <c r="J21" s="82">
        <f t="shared" ref="J21:J33" si="3">I21-I21*$J$19</f>
        <v>0</v>
      </c>
      <c r="K21" s="83">
        <f t="shared" si="0"/>
        <v>0</v>
      </c>
      <c r="L21" s="66">
        <f t="shared" ref="L21:L33" si="4">E21*G21/100</f>
        <v>0</v>
      </c>
      <c r="M21" s="66">
        <f t="shared" ref="M21:M33" si="5">(F21*G21)/100*2</f>
        <v>0</v>
      </c>
      <c r="N21" s="84"/>
      <c r="O21" s="85"/>
      <c r="Q21" s="84"/>
      <c r="R21" s="85"/>
      <c r="S21" s="71"/>
      <c r="T21" s="72"/>
    </row>
    <row r="22" s="2" customFormat="1" ht="15" customHeight="1" spans="1:20">
      <c r="A22" s="73">
        <v>3</v>
      </c>
      <c r="B22" s="74">
        <v>0</v>
      </c>
      <c r="C22" s="75">
        <f t="shared" si="1"/>
        <v>0</v>
      </c>
      <c r="D22" s="76"/>
      <c r="E22" s="77"/>
      <c r="F22" s="78"/>
      <c r="G22" s="79">
        <v>0</v>
      </c>
      <c r="H22" s="80">
        <f t="shared" si="2"/>
        <v>0</v>
      </c>
      <c r="I22" s="81"/>
      <c r="J22" s="82">
        <f t="shared" si="3"/>
        <v>0</v>
      </c>
      <c r="K22" s="83">
        <f t="shared" si="0"/>
        <v>0</v>
      </c>
      <c r="L22" s="66">
        <f t="shared" si="4"/>
        <v>0</v>
      </c>
      <c r="M22" s="66">
        <f t="shared" si="5"/>
        <v>0</v>
      </c>
      <c r="N22" s="84"/>
      <c r="O22" s="85"/>
      <c r="Q22" s="84"/>
      <c r="R22" s="85"/>
      <c r="S22" s="71"/>
      <c r="T22" s="72"/>
    </row>
    <row r="23" s="2" customFormat="1" ht="15" customHeight="1" spans="1:20">
      <c r="A23" s="73">
        <v>4</v>
      </c>
      <c r="B23" s="74">
        <v>0</v>
      </c>
      <c r="C23" s="75">
        <f t="shared" si="1"/>
        <v>0</v>
      </c>
      <c r="D23" s="76"/>
      <c r="E23" s="77"/>
      <c r="F23" s="78"/>
      <c r="G23" s="79">
        <v>0</v>
      </c>
      <c r="H23" s="80">
        <f t="shared" si="2"/>
        <v>0</v>
      </c>
      <c r="I23" s="81"/>
      <c r="J23" s="82">
        <f t="shared" si="3"/>
        <v>0</v>
      </c>
      <c r="K23" s="83">
        <f t="shared" si="0"/>
        <v>0</v>
      </c>
      <c r="L23" s="66">
        <f t="shared" si="4"/>
        <v>0</v>
      </c>
      <c r="M23" s="66">
        <f t="shared" si="5"/>
        <v>0</v>
      </c>
      <c r="N23" s="84"/>
      <c r="O23" s="85"/>
      <c r="Q23" s="84"/>
      <c r="R23" s="85"/>
      <c r="S23" s="71"/>
      <c r="T23" s="72"/>
    </row>
    <row r="24" s="2" customFormat="1" ht="15" customHeight="1" spans="1:20">
      <c r="A24" s="73">
        <v>5</v>
      </c>
      <c r="B24" s="74">
        <v>0</v>
      </c>
      <c r="C24" s="75">
        <f t="shared" si="1"/>
        <v>0</v>
      </c>
      <c r="D24" s="76"/>
      <c r="E24" s="77"/>
      <c r="F24" s="78"/>
      <c r="G24" s="79">
        <v>0</v>
      </c>
      <c r="H24" s="80">
        <f t="shared" si="2"/>
        <v>0</v>
      </c>
      <c r="I24" s="81"/>
      <c r="J24" s="82">
        <f t="shared" si="3"/>
        <v>0</v>
      </c>
      <c r="K24" s="83">
        <f t="shared" si="0"/>
        <v>0</v>
      </c>
      <c r="L24" s="66">
        <f t="shared" si="4"/>
        <v>0</v>
      </c>
      <c r="M24" s="66">
        <f t="shared" si="5"/>
        <v>0</v>
      </c>
      <c r="N24" s="84"/>
      <c r="O24" s="85"/>
      <c r="Q24" s="84"/>
      <c r="R24" s="85"/>
      <c r="S24" s="71"/>
      <c r="T24" s="72"/>
    </row>
    <row r="25" s="2" customFormat="1" ht="15" customHeight="1" spans="1:20">
      <c r="A25" s="73">
        <v>6</v>
      </c>
      <c r="B25" s="74">
        <v>0</v>
      </c>
      <c r="C25" s="75">
        <f t="shared" si="1"/>
        <v>0</v>
      </c>
      <c r="D25" s="76"/>
      <c r="E25" s="77"/>
      <c r="F25" s="78"/>
      <c r="G25" s="79">
        <v>0</v>
      </c>
      <c r="H25" s="80">
        <f t="shared" si="2"/>
        <v>0</v>
      </c>
      <c r="I25" s="81"/>
      <c r="J25" s="82">
        <f t="shared" si="3"/>
        <v>0</v>
      </c>
      <c r="K25" s="83">
        <f t="shared" si="0"/>
        <v>0</v>
      </c>
      <c r="L25" s="66">
        <f t="shared" si="4"/>
        <v>0</v>
      </c>
      <c r="M25" s="66">
        <f t="shared" si="5"/>
        <v>0</v>
      </c>
      <c r="N25" s="84"/>
      <c r="O25" s="85"/>
      <c r="Q25" s="84"/>
      <c r="R25" s="85"/>
      <c r="S25" s="71"/>
      <c r="T25" s="72"/>
    </row>
    <row r="26" s="2" customFormat="1" ht="15" customHeight="1" spans="1:20">
      <c r="A26" s="73">
        <v>7</v>
      </c>
      <c r="B26" s="74">
        <v>0</v>
      </c>
      <c r="C26" s="75">
        <f t="shared" si="1"/>
        <v>0</v>
      </c>
      <c r="D26" s="76"/>
      <c r="E26" s="77"/>
      <c r="F26" s="78"/>
      <c r="G26" s="79">
        <v>0</v>
      </c>
      <c r="H26" s="80">
        <f t="shared" si="2"/>
        <v>0</v>
      </c>
      <c r="I26" s="81"/>
      <c r="J26" s="82">
        <f t="shared" si="3"/>
        <v>0</v>
      </c>
      <c r="K26" s="83">
        <f t="shared" si="0"/>
        <v>0</v>
      </c>
      <c r="L26" s="66">
        <f t="shared" si="4"/>
        <v>0</v>
      </c>
      <c r="M26" s="66">
        <f t="shared" si="5"/>
        <v>0</v>
      </c>
      <c r="N26" s="84"/>
      <c r="O26" s="85"/>
      <c r="Q26" s="84"/>
      <c r="R26" s="85"/>
      <c r="S26" s="71"/>
      <c r="T26" s="72"/>
    </row>
    <row r="27" s="2" customFormat="1" ht="15" customHeight="1" spans="1:20">
      <c r="A27" s="73">
        <v>8</v>
      </c>
      <c r="B27" s="74">
        <v>0</v>
      </c>
      <c r="C27" s="75">
        <f t="shared" si="1"/>
        <v>0</v>
      </c>
      <c r="D27" s="76"/>
      <c r="E27" s="77"/>
      <c r="F27" s="78"/>
      <c r="G27" s="79">
        <v>0</v>
      </c>
      <c r="H27" s="80">
        <f t="shared" si="2"/>
        <v>0</v>
      </c>
      <c r="I27" s="81"/>
      <c r="J27" s="82">
        <f t="shared" si="3"/>
        <v>0</v>
      </c>
      <c r="K27" s="83">
        <f t="shared" si="0"/>
        <v>0</v>
      </c>
      <c r="L27" s="66">
        <f t="shared" si="4"/>
        <v>0</v>
      </c>
      <c r="M27" s="66">
        <f t="shared" si="5"/>
        <v>0</v>
      </c>
      <c r="N27" s="84"/>
      <c r="O27" s="85"/>
      <c r="Q27" s="84"/>
      <c r="R27" s="85"/>
      <c r="S27" s="71"/>
      <c r="T27" s="72"/>
    </row>
    <row r="28" s="2" customFormat="1" ht="15" customHeight="1" spans="1:20">
      <c r="A28" s="73">
        <v>9</v>
      </c>
      <c r="B28" s="74">
        <v>0</v>
      </c>
      <c r="C28" s="75">
        <f t="shared" si="1"/>
        <v>0</v>
      </c>
      <c r="D28" s="76"/>
      <c r="E28" s="77"/>
      <c r="F28" s="78"/>
      <c r="G28" s="79">
        <v>0</v>
      </c>
      <c r="H28" s="80">
        <f t="shared" si="2"/>
        <v>0</v>
      </c>
      <c r="I28" s="81"/>
      <c r="J28" s="82">
        <f t="shared" si="3"/>
        <v>0</v>
      </c>
      <c r="K28" s="83">
        <f t="shared" si="0"/>
        <v>0</v>
      </c>
      <c r="L28" s="66">
        <f t="shared" si="4"/>
        <v>0</v>
      </c>
      <c r="M28" s="66">
        <f t="shared" si="5"/>
        <v>0</v>
      </c>
      <c r="N28" s="84"/>
      <c r="O28" s="85"/>
      <c r="Q28" s="84"/>
      <c r="R28" s="85"/>
      <c r="S28" s="71"/>
      <c r="T28" s="72"/>
    </row>
    <row r="29" s="2" customFormat="1" ht="15" customHeight="1" spans="1:20">
      <c r="A29" s="73">
        <v>10</v>
      </c>
      <c r="B29" s="74">
        <v>0</v>
      </c>
      <c r="C29" s="75">
        <f t="shared" si="1"/>
        <v>0</v>
      </c>
      <c r="D29" s="76"/>
      <c r="E29" s="77"/>
      <c r="F29" s="78"/>
      <c r="G29" s="79">
        <v>0</v>
      </c>
      <c r="H29" s="80">
        <f t="shared" si="2"/>
        <v>0</v>
      </c>
      <c r="I29" s="81"/>
      <c r="J29" s="82">
        <f t="shared" si="3"/>
        <v>0</v>
      </c>
      <c r="K29" s="83">
        <f t="shared" si="0"/>
        <v>0</v>
      </c>
      <c r="L29" s="66">
        <f t="shared" si="4"/>
        <v>0</v>
      </c>
      <c r="M29" s="66">
        <f t="shared" si="5"/>
        <v>0</v>
      </c>
      <c r="N29" s="84"/>
      <c r="O29" s="85"/>
      <c r="Q29" s="84"/>
      <c r="R29" s="85"/>
      <c r="S29" s="71"/>
      <c r="T29" s="72"/>
    </row>
    <row r="30" s="2" customFormat="1" ht="15" customHeight="1" spans="1:20">
      <c r="A30" s="73">
        <v>11</v>
      </c>
      <c r="B30" s="74">
        <v>0</v>
      </c>
      <c r="C30" s="75">
        <f t="shared" si="1"/>
        <v>0</v>
      </c>
      <c r="D30" s="76"/>
      <c r="E30" s="77"/>
      <c r="F30" s="78"/>
      <c r="G30" s="79">
        <v>0</v>
      </c>
      <c r="H30" s="80">
        <f t="shared" si="2"/>
        <v>0</v>
      </c>
      <c r="I30" s="81"/>
      <c r="J30" s="82">
        <f t="shared" si="3"/>
        <v>0</v>
      </c>
      <c r="K30" s="83">
        <f t="shared" si="0"/>
        <v>0</v>
      </c>
      <c r="L30" s="66">
        <f t="shared" si="4"/>
        <v>0</v>
      </c>
      <c r="M30" s="66">
        <f t="shared" si="5"/>
        <v>0</v>
      </c>
      <c r="N30" s="84"/>
      <c r="O30" s="85"/>
      <c r="Q30" s="84"/>
      <c r="R30" s="85"/>
      <c r="S30" s="71"/>
      <c r="T30" s="72"/>
    </row>
    <row r="31" s="2" customFormat="1" ht="15" customHeight="1" spans="1:20">
      <c r="A31" s="73">
        <v>12</v>
      </c>
      <c r="B31" s="74">
        <v>0</v>
      </c>
      <c r="C31" s="75">
        <f t="shared" si="1"/>
        <v>0</v>
      </c>
      <c r="D31" s="76"/>
      <c r="E31" s="77"/>
      <c r="F31" s="78"/>
      <c r="G31" s="79">
        <v>0</v>
      </c>
      <c r="H31" s="80">
        <f t="shared" si="2"/>
        <v>0</v>
      </c>
      <c r="I31" s="81"/>
      <c r="J31" s="82">
        <f t="shared" si="3"/>
        <v>0</v>
      </c>
      <c r="K31" s="83">
        <f t="shared" si="0"/>
        <v>0</v>
      </c>
      <c r="L31" s="66">
        <f t="shared" si="4"/>
        <v>0</v>
      </c>
      <c r="M31" s="66">
        <f t="shared" si="5"/>
        <v>0</v>
      </c>
      <c r="N31" s="84"/>
      <c r="O31" s="85"/>
      <c r="Q31" s="84"/>
      <c r="R31" s="85"/>
      <c r="S31" s="71"/>
      <c r="T31" s="72"/>
    </row>
    <row r="32" s="2" customFormat="1" ht="15" customHeight="1" spans="1:20">
      <c r="A32" s="73">
        <v>13</v>
      </c>
      <c r="B32" s="74">
        <v>0</v>
      </c>
      <c r="C32" s="75">
        <f t="shared" si="1"/>
        <v>0</v>
      </c>
      <c r="D32" s="76"/>
      <c r="E32" s="77"/>
      <c r="F32" s="78"/>
      <c r="G32" s="79">
        <v>0</v>
      </c>
      <c r="H32" s="80">
        <f t="shared" si="2"/>
        <v>0</v>
      </c>
      <c r="I32" s="81"/>
      <c r="J32" s="82">
        <f t="shared" si="3"/>
        <v>0</v>
      </c>
      <c r="K32" s="83">
        <f t="shared" si="0"/>
        <v>0</v>
      </c>
      <c r="L32" s="66">
        <f t="shared" si="4"/>
        <v>0</v>
      </c>
      <c r="M32" s="66">
        <f t="shared" si="5"/>
        <v>0</v>
      </c>
      <c r="N32" s="84"/>
      <c r="O32" s="85"/>
      <c r="Q32" s="84"/>
      <c r="R32" s="85"/>
      <c r="S32" s="71"/>
      <c r="T32" s="72"/>
    </row>
    <row r="33" s="2" customFormat="1" ht="15" customHeight="1" spans="1:20">
      <c r="A33" s="73">
        <v>14</v>
      </c>
      <c r="B33" s="74">
        <v>0</v>
      </c>
      <c r="C33" s="75">
        <f t="shared" si="1"/>
        <v>0</v>
      </c>
      <c r="D33" s="76"/>
      <c r="E33" s="77"/>
      <c r="F33" s="78"/>
      <c r="G33" s="79">
        <v>0</v>
      </c>
      <c r="H33" s="80">
        <f t="shared" si="2"/>
        <v>0</v>
      </c>
      <c r="I33" s="81"/>
      <c r="J33" s="82">
        <f t="shared" si="3"/>
        <v>0</v>
      </c>
      <c r="K33" s="83">
        <f t="shared" si="0"/>
        <v>0</v>
      </c>
      <c r="L33" s="66">
        <f t="shared" si="4"/>
        <v>0</v>
      </c>
      <c r="M33" s="66">
        <f t="shared" si="5"/>
        <v>0</v>
      </c>
      <c r="N33" s="84"/>
      <c r="O33" s="85"/>
      <c r="Q33" s="84"/>
      <c r="R33" s="85"/>
      <c r="S33" s="71"/>
      <c r="T33" s="72"/>
    </row>
    <row r="34" s="3" customFormat="1" ht="21" customHeight="1" spans="1:20">
      <c r="A34" s="86"/>
      <c r="B34" s="87"/>
      <c r="C34" s="87"/>
      <c r="D34" s="88"/>
      <c r="E34" s="88" t="s">
        <v>26</v>
      </c>
      <c r="F34" s="89"/>
      <c r="G34" s="90">
        <f>SUM(G20:G33)</f>
        <v>0</v>
      </c>
      <c r="H34" s="91">
        <f>SUM(H20:H33)</f>
        <v>0</v>
      </c>
      <c r="I34" s="92" t="s">
        <v>27</v>
      </c>
      <c r="J34" s="93"/>
      <c r="K34" s="94">
        <f>SUM(K20:K33)</f>
        <v>0</v>
      </c>
      <c r="L34" s="95"/>
      <c r="O34" s="96" t="e">
        <f>SUM(#REF!)</f>
        <v>#REF!</v>
      </c>
      <c r="R34" s="96" t="e">
        <f>SUM(#REF!)</f>
        <v>#REF!</v>
      </c>
      <c r="T34"/>
    </row>
    <row r="35" s="2" customFormat="1" ht="16.15" customHeight="1" spans="1:20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8"/>
      <c r="T35" s="72"/>
    </row>
    <row r="36" s="3" customFormat="1" ht="21.75" customHeight="1" spans="1:20">
      <c r="A36" s="99"/>
      <c r="B36" s="92" t="s">
        <v>28</v>
      </c>
      <c r="C36" s="100"/>
      <c r="D36" s="100"/>
      <c r="E36" s="100"/>
      <c r="F36" s="100"/>
      <c r="G36" s="100"/>
      <c r="H36" s="100"/>
      <c r="I36" s="100"/>
      <c r="J36" s="100"/>
      <c r="K36" s="101"/>
      <c r="T36"/>
    </row>
    <row r="37" s="2" customFormat="1" ht="16.15" customHeight="1" spans="1:20">
      <c r="A37" s="97"/>
      <c r="B37" s="102"/>
      <c r="C37" s="103"/>
      <c r="D37" s="103"/>
      <c r="E37" s="103"/>
      <c r="F37" s="104"/>
      <c r="G37" s="105" t="s">
        <v>14</v>
      </c>
      <c r="H37" s="48" t="s">
        <v>29</v>
      </c>
      <c r="I37" s="106" t="s">
        <v>30</v>
      </c>
      <c r="J37" s="107" t="s">
        <v>17</v>
      </c>
      <c r="K37" s="108" t="s">
        <v>18</v>
      </c>
      <c r="T37" s="72"/>
    </row>
    <row r="38" s="2" customFormat="1" ht="15.75" spans="1:20">
      <c r="A38" s="97"/>
      <c r="B38" s="109"/>
      <c r="C38" s="110"/>
      <c r="D38" s="110"/>
      <c r="E38" s="110"/>
      <c r="F38" s="111"/>
      <c r="G38" s="112"/>
      <c r="H38" s="64"/>
      <c r="I38" s="113" t="s">
        <v>29</v>
      </c>
      <c r="J38" s="114"/>
      <c r="K38" s="58" t="s">
        <v>31</v>
      </c>
      <c r="T38"/>
    </row>
    <row r="39" s="2" customFormat="1" ht="16.15" customHeight="1" spans="1:20">
      <c r="A39" s="97"/>
      <c r="B39" s="115" t="s">
        <v>32</v>
      </c>
      <c r="C39" s="116"/>
      <c r="D39" s="116"/>
      <c r="E39" s="116"/>
      <c r="F39" s="116"/>
      <c r="G39" s="116"/>
      <c r="H39" s="116"/>
      <c r="I39" s="117"/>
      <c r="J39" s="118">
        <v>0</v>
      </c>
      <c r="K39" s="119"/>
      <c r="T39" s="72"/>
    </row>
    <row r="40" s="2" customFormat="1" ht="16.15" customHeight="1" spans="1:20">
      <c r="A40" s="97"/>
      <c r="B40" s="120" t="s">
        <v>33</v>
      </c>
      <c r="C40" s="121"/>
      <c r="D40" s="121"/>
      <c r="E40" s="121"/>
      <c r="F40" s="122"/>
      <c r="G40" s="79">
        <f>SUM(C20:C33)</f>
        <v>0</v>
      </c>
      <c r="H40" s="123" t="s">
        <v>34</v>
      </c>
      <c r="I40" s="124">
        <v>190</v>
      </c>
      <c r="J40" s="82">
        <f>I40-I40*$J$39</f>
        <v>190</v>
      </c>
      <c r="K40" s="119">
        <f>G40*J40</f>
        <v>0</v>
      </c>
      <c r="T40"/>
    </row>
    <row r="41" s="2" customFormat="1" ht="16.15" customHeight="1" spans="1:20">
      <c r="A41" s="97"/>
      <c r="B41" s="120" t="s">
        <v>35</v>
      </c>
      <c r="C41" s="121"/>
      <c r="D41" s="121"/>
      <c r="E41" s="121"/>
      <c r="F41" s="122"/>
      <c r="G41" s="125">
        <f>SUM(L20:L33)</f>
        <v>0</v>
      </c>
      <c r="H41" s="123" t="s">
        <v>36</v>
      </c>
      <c r="I41" s="124">
        <v>1250</v>
      </c>
      <c r="J41" s="82">
        <f>I41-I41*$J$39</f>
        <v>1250</v>
      </c>
      <c r="K41" s="119">
        <f>G41*J41</f>
        <v>0</v>
      </c>
      <c r="T41"/>
    </row>
    <row r="42" s="2" customFormat="1" ht="16.15" customHeight="1" spans="1:20">
      <c r="A42" s="97"/>
      <c r="B42" s="115" t="s">
        <v>37</v>
      </c>
      <c r="C42" s="116"/>
      <c r="D42" s="116"/>
      <c r="E42" s="116"/>
      <c r="F42" s="116"/>
      <c r="G42" s="116"/>
      <c r="H42" s="116"/>
      <c r="I42" s="117"/>
      <c r="J42" s="126"/>
      <c r="K42" s="127"/>
    </row>
    <row r="43" s="2" customFormat="1" ht="16.15" customHeight="1" spans="1:20">
      <c r="A43" s="97"/>
      <c r="B43" s="128" t="s">
        <v>38</v>
      </c>
      <c r="C43" s="129"/>
      <c r="D43" s="129"/>
      <c r="E43" s="129"/>
      <c r="F43" s="129"/>
      <c r="G43" s="79">
        <v>1</v>
      </c>
      <c r="H43" s="130" t="s">
        <v>34</v>
      </c>
      <c r="I43" s="131">
        <v>0</v>
      </c>
      <c r="J43" s="132">
        <f>I43</f>
        <v>0</v>
      </c>
      <c r="K43" s="133">
        <f>G43*J43</f>
        <v>0</v>
      </c>
    </row>
    <row r="44" s="2" customFormat="1" ht="16.15" customHeight="1" spans="1:20">
      <c r="A44" s="97"/>
      <c r="B44" s="128" t="s">
        <v>39</v>
      </c>
      <c r="C44" s="129"/>
      <c r="D44" s="129"/>
      <c r="E44" s="129"/>
      <c r="F44" s="129"/>
      <c r="G44" s="79">
        <f>G34</f>
        <v>0</v>
      </c>
      <c r="H44" s="130" t="s">
        <v>34</v>
      </c>
      <c r="I44" s="131">
        <v>1400</v>
      </c>
      <c r="J44" s="132">
        <f>I44</f>
        <v>1400</v>
      </c>
      <c r="K44" s="133">
        <f>G44*J44</f>
        <v>0</v>
      </c>
    </row>
    <row r="45" s="2" customFormat="1" ht="21" customHeight="1" spans="1:20">
      <c r="A45" s="97"/>
      <c r="B45" s="134"/>
      <c r="C45" s="135"/>
      <c r="D45" s="135"/>
      <c r="E45" s="135"/>
      <c r="F45" s="135"/>
      <c r="G45" s="135"/>
      <c r="H45" s="135"/>
      <c r="I45" s="136" t="s">
        <v>40</v>
      </c>
      <c r="J45" s="137"/>
      <c r="K45" s="138">
        <f>SUM(K39:K44)</f>
        <v>0</v>
      </c>
    </row>
    <row r="46" s="2" customFormat="1" ht="4.5" customHeight="1" spans="1:20">
      <c r="A46" s="97"/>
      <c r="B46" s="33"/>
      <c r="C46" s="139"/>
      <c r="D46" s="139"/>
      <c r="E46" s="139"/>
      <c r="F46" s="139"/>
      <c r="G46" s="139"/>
      <c r="H46" s="139"/>
      <c r="I46" s="140"/>
      <c r="J46" s="141"/>
      <c r="K46" s="142"/>
    </row>
    <row r="47" s="2" customFormat="1" ht="21" customHeight="1" spans="1:20">
      <c r="A47" s="97"/>
      <c r="B47" s="143"/>
      <c r="C47" s="139"/>
      <c r="D47" s="139"/>
      <c r="E47" s="139"/>
      <c r="F47" s="139"/>
      <c r="G47" s="139"/>
      <c r="H47" s="144" t="s">
        <v>41</v>
      </c>
      <c r="I47" s="145"/>
      <c r="J47" s="146"/>
      <c r="K47" s="147">
        <f>K34+K45</f>
        <v>0</v>
      </c>
    </row>
    <row r="48" s="2" customFormat="1" ht="17.25" customHeight="1" spans="1:20">
      <c r="A48" s="97"/>
      <c r="B48" s="143"/>
      <c r="C48" s="139"/>
      <c r="D48" s="139"/>
      <c r="E48" s="139"/>
      <c r="F48" s="139"/>
      <c r="G48" s="139"/>
      <c r="H48" s="148" t="s">
        <v>42</v>
      </c>
      <c r="I48" s="149">
        <v>0.12</v>
      </c>
      <c r="J48" s="150"/>
      <c r="K48" s="151">
        <f>SUM(K47:K47)*I48</f>
        <v>0</v>
      </c>
    </row>
    <row r="49" s="2" customFormat="1" ht="30.75" customHeight="1" spans="1:12">
      <c r="A49" s="97"/>
      <c r="B49" s="152"/>
      <c r="C49" s="139"/>
      <c r="D49" s="139"/>
      <c r="E49" s="139"/>
      <c r="F49" s="139"/>
      <c r="G49" s="139"/>
      <c r="H49" s="153" t="s">
        <v>43</v>
      </c>
      <c r="I49" s="154"/>
      <c r="J49" s="155"/>
      <c r="K49" s="156">
        <f>SUM(K47:K48)</f>
        <v>0</v>
      </c>
    </row>
    <row r="50" s="2" customFormat="1" ht="30.75" customHeight="1" spans="1:12">
      <c r="A50" s="97"/>
      <c r="B50" s="152"/>
      <c r="C50" s="139"/>
      <c r="D50" s="139"/>
      <c r="E50" s="139"/>
      <c r="F50" s="139"/>
      <c r="G50" s="139"/>
      <c r="H50" s="157"/>
      <c r="I50" s="158"/>
      <c r="J50" s="159"/>
      <c r="K50" s="160"/>
    </row>
    <row r="51" s="2" customFormat="1" ht="13.5" customHeight="1" spans="1:12">
      <c r="A51" s="71"/>
      <c r="B51" s="161"/>
      <c r="C51" s="71"/>
      <c r="D51" s="71"/>
      <c r="E51" s="71"/>
      <c r="F51" s="71"/>
      <c r="G51" s="71"/>
      <c r="H51" s="71"/>
      <c r="I51" s="162"/>
      <c r="J51" s="163"/>
      <c r="K51" s="164"/>
    </row>
    <row r="52" s="2" customFormat="1" ht="15.75" spans="1:12">
      <c r="A52" s="165"/>
      <c r="B52" s="166" t="s">
        <v>44</v>
      </c>
      <c r="D52" s="40" t="s">
        <v>45</v>
      </c>
      <c r="E52" s="40" t="s">
        <v>46</v>
      </c>
      <c r="F52" s="71"/>
      <c r="G52" s="71"/>
      <c r="H52" s="71"/>
      <c r="I52" s="71"/>
      <c r="K52" s="167"/>
      <c r="L52" s="164"/>
    </row>
    <row r="53" s="2" customFormat="1" ht="15.75" spans="1:12">
      <c r="A53" s="165"/>
      <c r="B53" s="166" t="s">
        <v>47</v>
      </c>
      <c r="E53" s="40" t="s">
        <v>48</v>
      </c>
      <c r="F53" s="71"/>
      <c r="G53" s="71"/>
      <c r="H53" s="71"/>
      <c r="I53" s="162"/>
      <c r="J53" s="163"/>
      <c r="K53" s="164"/>
    </row>
    <row r="54" ht="16.15" customHeight="1" spans="1:12">
      <c r="A54" s="28"/>
      <c r="B54" s="166" t="s">
        <v>49</v>
      </c>
      <c r="C54" s="28"/>
      <c r="D54" s="28"/>
      <c r="E54" s="40" t="s">
        <v>50</v>
      </c>
      <c r="F54" s="28"/>
      <c r="G54" s="28"/>
      <c r="H54" s="28"/>
      <c r="I54" s="28"/>
      <c r="J54" s="28"/>
      <c r="K54" s="168"/>
    </row>
    <row r="55" s="2" customFormat="1" ht="15" customHeight="1" spans="1:12">
      <c r="A55" s="169"/>
      <c r="B55" s="170"/>
      <c r="C55" s="171"/>
      <c r="D55" s="171"/>
      <c r="E55" s="170"/>
      <c r="F55" s="172"/>
      <c r="G55" s="172"/>
      <c r="L55" s="173"/>
    </row>
    <row r="56" s="2" customFormat="1" ht="15" customHeight="1" spans="1:12">
      <c r="A56" s="174"/>
      <c r="B56" s="170"/>
      <c r="C56" s="171"/>
      <c r="D56" s="171"/>
      <c r="E56" s="170"/>
      <c r="F56" s="175"/>
      <c r="G56" s="176"/>
      <c r="H56" s="171"/>
      <c r="K56" s="177"/>
      <c r="L56" s="173"/>
    </row>
    <row r="57" s="2" customFormat="1" ht="15.75" spans="1:12">
      <c r="K57" s="43"/>
    </row>
    <row r="58" spans="1:12">
      <c r="C58" s="28"/>
      <c r="D58" s="28"/>
      <c r="E58" s="28"/>
    </row>
    <row r="59" spans="1:12">
      <c r="C59" s="28"/>
      <c r="D59" s="28"/>
      <c r="E59" s="28"/>
    </row>
    <row r="60" spans="1:12">
      <c r="C60" s="28"/>
      <c r="D60" s="28"/>
      <c r="E60" s="28"/>
    </row>
    <row r="61" spans="1:12">
      <c r="C61" s="28"/>
      <c r="D61" s="28"/>
      <c r="E61" s="28"/>
    </row>
    <row r="62" spans="1:12">
      <c r="C62" s="28"/>
      <c r="D62" s="28"/>
      <c r="E62" s="28"/>
    </row>
    <row r="63" spans="1:12">
      <c r="C63" s="28"/>
      <c r="D63" s="28"/>
      <c r="E63" s="28"/>
    </row>
    <row r="64" spans="1:12">
      <c r="C64" s="28"/>
      <c r="D64" s="28"/>
      <c r="E64" s="28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</sheetData>
  <mergeCells count="22">
    <mergeCell ref="C18:D18"/>
    <mergeCell ref="E18:F18"/>
    <mergeCell ref="N18:O18"/>
    <mergeCell ref="Q18:R18"/>
    <mergeCell ref="L19:M19"/>
    <mergeCell ref="C34:D34"/>
    <mergeCell ref="E34:F34"/>
    <mergeCell ref="I34:J34"/>
    <mergeCell ref="B36:K36"/>
    <mergeCell ref="B39:I39"/>
    <mergeCell ref="B42:I42"/>
    <mergeCell ref="I45:J45"/>
    <mergeCell ref="A18:A19"/>
    <mergeCell ref="G18:G19"/>
    <mergeCell ref="G37:G38"/>
    <mergeCell ref="H18:H19"/>
    <mergeCell ref="H37:H38"/>
    <mergeCell ref="I18:I19"/>
    <mergeCell ref="J37:J38"/>
    <mergeCell ref="K18:K19"/>
    <mergeCell ref="K37:K38"/>
    <mergeCell ref="B37:F38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2010-02-12T08:06:29Z</dcterms:created>
  <cp:lastPrinted>2023-04-03T15:45:14Z</cp:lastPrinted>
  <dcterms:modified xsi:type="dcterms:W3CDTF">2026-10-30T13:14:42Z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7CEDF72F3977431B98037B8472913D49_13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